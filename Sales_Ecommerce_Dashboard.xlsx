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joelg\Downloads\"/>
    </mc:Choice>
  </mc:AlternateContent>
  <xr:revisionPtr revIDLastSave="0" documentId="8_{0EB41763-768F-40BF-974A-55FFEA6BEDA2}" xr6:coauthVersionLast="47" xr6:coauthVersionMax="47" xr10:uidLastSave="{00000000-0000-0000-0000-000000000000}"/>
  <bookViews>
    <workbookView xWindow="-108" yWindow="-108" windowWidth="23256" windowHeight="12456" xr2:uid="{346724B3-1C49-40AE-AA36-C77CF5D6DD09}"/>
  </bookViews>
  <sheets>
    <sheet name="Dashboard V2" sheetId="6" r:id="rId1"/>
    <sheet name="Questions &amp; KPIs" sheetId="2" r:id="rId2"/>
    <sheet name="Pivots" sheetId="5" r:id="rId3"/>
    <sheet name="Data" sheetId="1" r:id="rId4"/>
    <sheet name="Orders" sheetId="11" r:id="rId5"/>
    <sheet name="Popular" sheetId="12" r:id="rId6"/>
    <sheet name="Geography" sheetId="13" r:id="rId7"/>
    <sheet name="Delivery dates" sheetId="14" r:id="rId8"/>
    <sheet name="Sheet1" sheetId="10" r:id="rId9"/>
    <sheet name="Dashboard" sheetId="3" r:id="rId10"/>
    <sheet name="Logo &amp; Colors" sheetId="4" r:id="rId11"/>
  </sheets>
  <definedNames>
    <definedName name="_xlchart.v1.0" hidden="1">Geography!$G$4:$H$4</definedName>
    <definedName name="_xlchart.v1.1" hidden="1">Geography!$G$5:$H$63</definedName>
    <definedName name="_xlchart.v1.2" hidden="1">Geography!$I$4</definedName>
    <definedName name="_xlchart.v1.3" hidden="1">Geography!$I$5:$I$63</definedName>
    <definedName name="_xlchart.v5.10" hidden="1">Geography!$I$4</definedName>
    <definedName name="_xlchart.v5.11" hidden="1">Geography!$I$5:$I$63</definedName>
    <definedName name="_xlchart.v5.4" hidden="1">Geography!$K$4:$L$4</definedName>
    <definedName name="_xlchart.v5.5" hidden="1">Geography!$K$5:$L$63</definedName>
    <definedName name="_xlchart.v5.6" hidden="1">Geography!$M$4</definedName>
    <definedName name="_xlchart.v5.7" hidden="1">Geography!$M$5:$M$63</definedName>
    <definedName name="_xlchart.v5.8" hidden="1">Geography!$G$4:$H$4</definedName>
    <definedName name="_xlchart.v5.9" hidden="1">Geography!$G$5:$H$63</definedName>
    <definedName name="Slicer_Gender_Value">#N/A</definedName>
    <definedName name="Slicer_Order_Mode">#N/A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4" i="10" l="1"/>
  <c r="K4" i="10"/>
  <c r="L4" i="10"/>
  <c r="I4" i="10"/>
  <c r="I5" i="10"/>
  <c r="J5" i="10"/>
  <c r="K5" i="10"/>
  <c r="L5" i="10"/>
  <c r="I6" i="10"/>
  <c r="J6" i="10"/>
  <c r="K6" i="10"/>
  <c r="L6" i="10"/>
  <c r="I7" i="10"/>
  <c r="J7" i="10"/>
  <c r="K7" i="10"/>
  <c r="L7" i="10"/>
  <c r="I8" i="10"/>
  <c r="J8" i="10"/>
  <c r="K8" i="10"/>
  <c r="L8" i="10"/>
  <c r="I9" i="10"/>
  <c r="J9" i="10"/>
  <c r="K9" i="10"/>
  <c r="L9" i="10"/>
  <c r="H6" i="10"/>
  <c r="H7" i="10"/>
  <c r="H8" i="10"/>
  <c r="H9" i="10"/>
  <c r="H5" i="10"/>
  <c r="K4" i="5"/>
  <c r="J4" i="5"/>
  <c r="I4" i="5"/>
  <c r="H4" i="5"/>
  <c r="G4" i="5"/>
  <c r="Q3" i="1" a="1"/>
  <c r="Q3" i="1" s="1"/>
  <c r="Q2" i="1" a="1"/>
  <c r="Q2" i="1" s="1"/>
  <c r="O3" i="1" a="1"/>
  <c r="O3" i="1" s="1"/>
  <c r="O2" i="1" a="1"/>
  <c r="O2" i="1" s="1"/>
  <c r="N2" i="1"/>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N3" i="1"/>
  <c r="M3"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<sst xmlns="http://schemas.openxmlformats.org/spreadsheetml/2006/main" count="14914" uniqueCount="2579">
  <si>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</si>
  <si>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</si>
  <si>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</si>
  <si>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</si>
  <si>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</si>
  <si>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</si>
  <si>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</si>
  <si>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</si>
  <si>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</si>
  <si>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</si>
  <si>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</si>
  <si>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</si>
  <si>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</si>
  <si>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</si>
  <si>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</si>
  <si>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</si>
  <si>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</si>
  <si>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</si>
  <si>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</si>
  <si>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</si>
  <si>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</si>
  <si>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</si>
  <si>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</si>
  <si>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</si>
  <si>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</si>
  <si>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</si>
  <si>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</si>
  <si>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</si>
  <si>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</si>
  <si>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</si>
  <si>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</si>
  <si>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</si>
  <si>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</si>
  <si>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</si>
  <si>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</si>
  <si>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</si>
  <si>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</si>
  <si>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</si>
  <si>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</si>
  <si>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</si>
  <si>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</si>
  <si>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</si>
  <si>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</si>
  <si>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</si>
  <si>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</si>
  <si>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</si>
  <si>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</si>
  <si>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</si>
  <si>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</si>
  <si>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</si>
  <si>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</si>
  <si>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</si>
  <si>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</si>
  <si>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</si>
  <si>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</si>
  <si>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</si>
  <si>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</si>
  <si>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</si>
  <si>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</si>
  <si>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</si>
  <si>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</si>
  <si>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</si>
  <si>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</si>
  <si>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</si>
  <si>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</si>
  <si>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</si>
  <si>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</si>
  <si>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</si>
  <si>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</si>
  <si>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</si>
  <si>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</si>
  <si>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</si>
  <si>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</si>
  <si>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</si>
  <si>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</si>
  <si>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</si>
  <si>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</si>
  <si>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</si>
  <si>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</si>
  <si>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</si>
  <si>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</si>
  <si>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</si>
  <si>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</si>
  <si>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</si>
  <si>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</si>
  <si>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</si>
  <si>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</si>
  <si>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</si>
  <si>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</si>
  <si>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</si>
  <si>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</si>
  <si>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</si>
  <si>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</si>
  <si>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</si>
  <si>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</si>
  <si>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</si>
  <si>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</si>
  <si>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</si>
  <si>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</si>
  <si>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</si>
  <si>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</si>
  <si>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</si>
  <si>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</si>
  <si>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</si>
  <si>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</si>
  <si>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</si>
  <si>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</si>
  <si>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</si>
  <si>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</si>
  <si>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</si>
  <si>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</si>
  <si>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</si>
  <si>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</si>
  <si>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</si>
  <si>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</si>
  <si>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</si>
  <si>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</si>
  <si>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</si>
  <si>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</si>
  <si>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</si>
  <si>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</si>
  <si>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</si>
  <si>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</si>
  <si>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</si>
  <si>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</si>
  <si>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</si>
  <si>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</si>
  <si>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</si>
  <si>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</si>
  <si>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</si>
  <si>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</si>
  <si>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</si>
  <si>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</si>
  <si>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</si>
  <si>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</si>
  <si>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</si>
  <si>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</si>
  <si>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</si>
  <si>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</si>
  <si>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</si>
  <si>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</si>
  <si>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</si>
  <si>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</si>
  <si>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</si>
  <si>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</si>
  <si>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</si>
  <si>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</si>
  <si>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</si>
  <si>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</si>
  <si>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</si>
  <si>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</si>
  <si>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</si>
  <si>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</si>
  <si>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</si>
  <si>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</si>
  <si>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</si>
  <si>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</si>
  <si>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</si>
  <si>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</si>
  <si>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</si>
  <si>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</si>
  <si>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</si>
  <si>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</si>
  <si>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</si>
  <si>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</si>
  <si>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</si>
  <si>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</si>
  <si>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</si>
  <si>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</si>
  <si>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</si>
  <si>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</si>
  <si>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</si>
  <si>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</si>
  <si>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</si>
  <si>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</si>
  <si>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</si>
  <si>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</si>
  <si>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</si>
  <si>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</si>
  <si>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</si>
  <si>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</si>
  <si>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</si>
  <si>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</si>
  <si>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</si>
  <si>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</si>
  <si>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</si>
  <si>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</si>
  <si>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</si>
  <si>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</si>
  <si>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</si>
  <si>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</si>
  <si>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</si>
  <si>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</si>
  <si>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</si>
  <si>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</si>
  <si>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</si>
  <si>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</si>
  <si>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</si>
  <si>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</si>
  <si>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</si>
  <si>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</si>
  <si>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</si>
  <si>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</si>
  <si>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</si>
  <si>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</si>
  <si>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</si>
  <si>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</si>
  <si>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</si>
  <si>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</si>
  <si>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</si>
  <si>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</si>
  <si>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</si>
  <si>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</si>
  <si>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</si>
  <si>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</si>
  <si>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</si>
  <si>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</si>
  <si>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</si>
  <si>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</si>
  <si>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</si>
  <si>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</si>
  <si>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</si>
  <si>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</si>
  <si>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</si>
  <si>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</si>
  <si>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</si>
  <si>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</si>
  <si>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</si>
  <si>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</si>
  <si>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</si>
  <si>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</si>
  <si>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</si>
  <si>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</si>
  <si>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</si>
  <si>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</si>
  <si>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</si>
  <si>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</si>
  <si>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</si>
  <si>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</si>
  <si>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</si>
  <si>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</si>
  <si>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</si>
  <si>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</si>
  <si>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</si>
  <si>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</si>
  <si>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</si>
  <si>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</si>
  <si>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</si>
  <si>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</si>
  <si>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</si>
  <si>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</si>
  <si>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</si>
  <si>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</si>
  <si>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</si>
  <si>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</si>
  <si>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</si>
  <si>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</si>
  <si>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</si>
  <si>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</si>
  <si>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</si>
  <si>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</si>
  <si>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</si>
  <si>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</si>
  <si>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</si>
  <si>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</si>
  <si>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</si>
  <si>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</si>
  <si>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</si>
  <si>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</si>
  <si>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</si>
  <si>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</si>
  <si>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</si>
  <si>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</si>
  <si>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</si>
  <si>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</si>
  <si>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</si>
  <si>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</si>
  <si>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</si>
  <si>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</si>
  <si>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</si>
  <si>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</si>
  <si>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</si>
  <si>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</si>
  <si>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</si>
  <si>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</si>
  <si>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</si>
  <si>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</si>
  <si>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</si>
  <si>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</si>
  <si>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</si>
  <si>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</si>
  <si>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</si>
  <si>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</si>
  <si>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</si>
  <si>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</si>
  <si>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</si>
  <si>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</si>
  <si>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</si>
  <si>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</si>
  <si>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</si>
  <si>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</si>
  <si>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</si>
  <si>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</si>
  <si>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</si>
  <si>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</si>
  <si>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</si>
  <si>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</si>
  <si>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</si>
  <si>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</si>
  <si>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</si>
  <si>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</si>
  <si>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</si>
  <si>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</si>
  <si>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</si>
  <si>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</si>
  <si>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</si>
  <si>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</si>
  <si>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</si>
  <si>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</si>
  <si>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</si>
  <si>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</si>
  <si>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</si>
  <si>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</si>
  <si>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</si>
  <si>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</si>
  <si>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</si>
  <si>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</si>
  <si>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</si>
  <si>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</si>
  <si>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</si>
  <si>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</si>
  <si>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</si>
  <si>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</si>
  <si>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</si>
  <si>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</si>
  <si>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</si>
  <si>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</si>
  <si>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</si>
  <si>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</si>
  <si>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</si>
  <si>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</si>
  <si>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</si>
  <si>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</si>
  <si>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</si>
  <si>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</si>
  <si>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</si>
  <si>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</si>
  <si>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</si>
  <si>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</si>
  <si>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</si>
  <si>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</si>
  <si>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</si>
  <si>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</si>
  <si>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</si>
  <si>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</si>
  <si>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</si>
  <si>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</si>
  <si>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</si>
  <si>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</si>
  <si>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</si>
  <si>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</si>
  <si>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</si>
  <si>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</si>
  <si>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</si>
  <si>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</si>
  <si>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</si>
  <si>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</si>
  <si>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</si>
  <si>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</si>
  <si>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</si>
  <si>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</si>
  <si>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</si>
  <si>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</si>
  <si>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</si>
  <si>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</si>
  <si>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</si>
  <si>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</si>
  <si>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</si>
  <si>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</si>
  <si>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</si>
  <si>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</si>
  <si>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</si>
  <si>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</si>
  <si>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</si>
  <si>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</si>
  <si>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</si>
  <si>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</si>
  <si>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</si>
  <si>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</si>
  <si>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</si>
  <si>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</si>
  <si>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</si>
  <si>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</si>
  <si>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</si>
  <si>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</si>
  <si>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</si>
  <si>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</si>
  <si>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</si>
  <si>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</si>
  <si>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</si>
  <si>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</si>
  <si>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</si>
  <si>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</si>
  <si>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</si>
  <si>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</si>
  <si>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</si>
  <si>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</si>
  <si>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</si>
  <si>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</si>
  <si>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</si>
  <si>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</si>
  <si>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</si>
  <si>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</si>
  <si>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</si>
  <si>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</si>
  <si>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</si>
  <si>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</si>
  <si>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</si>
  <si>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</si>
  <si>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</si>
  <si>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</si>
  <si>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</si>
  <si>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</si>
  <si>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</si>
  <si>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</si>
  <si>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</si>
  <si>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</si>
  <si>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</si>
  <si>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</si>
  <si>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</si>
  <si>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</si>
  <si>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</si>
  <si>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</si>
  <si>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</si>
  <si>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</si>
  <si>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</si>
  <si>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</si>
  <si>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</si>
  <si>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</si>
  <si>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</si>
  <si>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</si>
  <si>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</si>
  <si>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</si>
  <si>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</si>
  <si>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</si>
  <si>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</si>
  <si>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</si>
  <si>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</si>
  <si>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</si>
  <si>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</si>
  <si>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</si>
  <si>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</si>
  <si>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</si>
  <si>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</si>
  <si>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</si>
  <si>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</si>
  <si>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</si>
  <si>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</si>
  <si>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</si>
  <si>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</si>
  <si>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</si>
  <si>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</si>
  <si>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</si>
  <si>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</si>
  <si>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</si>
  <si>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</si>
  <si>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</si>
  <si>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</si>
  <si>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</si>
  <si>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</si>
  <si>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</si>
  <si>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</si>
  <si>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</si>
  <si>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</si>
  <si>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</si>
  <si>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</si>
  <si>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</si>
  <si>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</si>
  <si>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</si>
  <si>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</si>
  <si>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</si>
  <si>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</si>
  <si>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</si>
  <si>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</si>
  <si>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</si>
  <si>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</si>
  <si>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</si>
  <si>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</si>
  <si>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</si>
  <si>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</si>
  <si>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</si>
  <si>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</si>
  <si>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</si>
  <si>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</si>
  <si>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</si>
  <si>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</si>
  <si>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</si>
  <si>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</si>
  <si>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</si>
  <si>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</si>
  <si>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</si>
  <si>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</si>
  <si>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</si>
  <si>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</si>
  <si>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</si>
  <si>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</si>
  <si>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</si>
  <si>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</si>
  <si>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</si>
  <si>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</si>
  <si>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</si>
  <si>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</si>
  <si>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</si>
  <si>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</si>
  <si>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</si>
  <si>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</si>
  <si>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</si>
  <si>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</si>
  <si>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</si>
  <si>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</si>
  <si>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</si>
  <si>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</si>
  <si>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</si>
  <si>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</si>
  <si>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</si>
  <si>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</si>
  <si>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</si>
  <si>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</si>
  <si>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</si>
  <si>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</si>
  <si>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</si>
  <si>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</si>
  <si>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</si>
  <si>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</si>
  <si>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</si>
  <si>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</si>
  <si>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</si>
  <si>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</si>
  <si>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</si>
  <si>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</si>
  <si>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</si>
  <si>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</si>
  <si>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</si>
  <si>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</si>
  <si>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</si>
  <si>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</si>
  <si>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</si>
  <si>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</si>
  <si>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</si>
  <si>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</si>
  <si>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</si>
  <si>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</si>
  <si>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</si>
  <si>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</si>
  <si>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</si>
  <si>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</si>
  <si>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</si>
  <si>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</si>
  <si>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</si>
  <si>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</si>
  <si>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</si>
  <si>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</si>
  <si>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</si>
  <si>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</si>
  <si>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</si>
  <si>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</si>
  <si>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</si>
  <si>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</si>
  <si>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</si>
  <si>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</si>
  <si>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</si>
  <si>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</si>
  <si>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</si>
  <si>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</si>
  <si>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</si>
  <si>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</si>
  <si>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</si>
  <si>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</si>
  <si>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</si>
  <si>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</si>
  <si>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</si>
  <si>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</si>
  <si>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</si>
  <si>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</si>
  <si>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</si>
  <si>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</si>
  <si>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</si>
  <si>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</si>
  <si>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</si>
  <si>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</si>
  <si>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</si>
  <si>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</si>
  <si>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</si>
  <si>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</si>
  <si>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</si>
  <si>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</si>
  <si>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</si>
  <si>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</si>
  <si>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</si>
  <si>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</si>
  <si>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</si>
  <si>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</si>
  <si>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</si>
  <si>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</si>
  <si>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</si>
  <si>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</si>
  <si>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</si>
  <si>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</si>
  <si>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</si>
  <si>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</si>
  <si>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</si>
  <si>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</si>
  <si>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</si>
  <si>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</si>
  <si>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</si>
  <si>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</si>
  <si>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</si>
  <si>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</si>
  <si>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</si>
  <si>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</si>
  <si>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</si>
  <si>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</si>
  <si>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</si>
  <si>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</si>
  <si>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</si>
  <si>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</si>
  <si>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</si>
  <si>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</si>
  <si>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</si>
  <si>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</si>
  <si>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</si>
  <si>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</si>
  <si>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</si>
  <si>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</si>
  <si>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</si>
  <si>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</si>
  <si>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</si>
  <si>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</si>
  <si>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</si>
  <si>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</si>
  <si>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</si>
  <si>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</si>
  <si>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</si>
  <si>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</si>
  <si>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</si>
  <si>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</si>
  <si>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</si>
  <si>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</si>
  <si>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</si>
  <si>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</si>
  <si>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</si>
  <si>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</si>
  <si>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</si>
  <si>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</si>
  <si>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</si>
  <si>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</si>
  <si>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</si>
  <si>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</si>
  <si>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</si>
  <si>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</si>
  <si>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</si>
  <si>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</si>
  <si>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</si>
  <si>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</si>
  <si>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</si>
  <si>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</si>
  <si>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</si>
  <si>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</si>
  <si>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</si>
  <si>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</si>
  <si>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</si>
  <si>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</si>
  <si>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</si>
  <si>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</si>
  <si>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</si>
  <si>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</si>
  <si>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</si>
  <si>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</si>
  <si>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</si>
  <si>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</si>
  <si>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</si>
  <si>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</si>
  <si>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</si>
  <si>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</si>
  <si>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</si>
  <si>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</si>
  <si>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</si>
  <si>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</si>
  <si>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</si>
  <si>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</si>
  <si>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</si>
  <si>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</si>
  <si>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</si>
  <si>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</si>
  <si>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</si>
  <si>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</si>
  <si>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</si>
  <si>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</si>
  <si>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</si>
  <si>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</si>
  <si>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</si>
  <si>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</si>
  <si>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</si>
  <si>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</si>
  <si>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</si>
  <si>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</si>
  <si>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</si>
  <si>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</si>
  <si>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</si>
  <si>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</si>
  <si>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</si>
  <si>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</si>
  <si>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</si>
  <si>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</si>
  <si>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</si>
  <si>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</si>
  <si>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</si>
  <si>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</si>
  <si>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</si>
  <si>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</si>
  <si>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</si>
  <si>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</si>
  <si>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</si>
  <si>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</si>
  <si>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</si>
  <si>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</si>
  <si>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</si>
  <si>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</si>
  <si>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</si>
  <si>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</si>
  <si>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</si>
  <si>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</si>
  <si>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</si>
  <si>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</si>
  <si>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</si>
  <si>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</si>
  <si>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</si>
  <si>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</si>
  <si>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</si>
  <si>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</si>
  <si>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</si>
  <si>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</si>
  <si>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</si>
  <si>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</si>
  <si>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</si>
  <si>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</si>
  <si>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</si>
  <si>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</si>
  <si>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</si>
  <si>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</si>
  <si>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</si>
  <si>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</si>
  <si>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</si>
  <si>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</si>
  <si>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</si>
  <si>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</si>
  <si>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</si>
  <si>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</si>
  <si>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</si>
  <si>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</si>
  <si>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</si>
  <si>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</si>
  <si>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</si>
  <si>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</si>
  <si>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</si>
  <si>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</si>
  <si>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</si>
  <si>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</si>
  <si>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</si>
  <si>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</si>
  <si>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</si>
  <si>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</si>
  <si>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</si>
  <si>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</si>
  <si>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</si>
  <si>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</si>
  <si>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</si>
  <si>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</si>
  <si>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</si>
  <si>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</si>
  <si>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</si>
  <si>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</si>
  <si>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</si>
  <si>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</si>
  <si>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</si>
  <si>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</si>
  <si>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</si>
  <si>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</si>
  <si>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</si>
  <si>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</si>
  <si>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</si>
  <si>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</si>
  <si>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</si>
  <si>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</si>
  <si>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</si>
  <si>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</si>
  <si>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</si>
  <si>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</si>
  <si>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</si>
  <si>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</si>
  <si>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</si>
  <si>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</si>
  <si>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</si>
  <si>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</si>
  <si>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</si>
  <si>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</si>
  <si>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</si>
  <si>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</si>
  <si>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</si>
  <si>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</si>
  <si>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</si>
  <si>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</si>
  <si>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</si>
  <si>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</si>
  <si>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</si>
  <si>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</si>
  <si>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</si>
  <si>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</si>
  <si>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</si>
  <si>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</si>
  <si>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</si>
  <si>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</si>
  <si>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</si>
  <si>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</si>
  <si>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</si>
  <si>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</si>
  <si>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</si>
  <si>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</si>
  <si>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</si>
  <si>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</si>
  <si>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</si>
  <si>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</si>
  <si>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</si>
  <si>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</si>
  <si>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</si>
  <si>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</si>
  <si>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</si>
  <si>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</si>
  <si>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</si>
  <si>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</si>
  <si>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</si>
  <si>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</si>
  <si>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</si>
  <si>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</si>
  <si>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</si>
  <si>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</si>
  <si>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</si>
  <si>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</si>
  <si>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</si>
  <si>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</si>
  <si>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</si>
  <si>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</si>
  <si>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</si>
  <si>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</si>
  <si>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</si>
  <si>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</si>
  <si>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</si>
  <si>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</si>
  <si>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</si>
  <si>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</si>
  <si>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</si>
  <si>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</si>
  <si>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</si>
  <si>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</si>
  <si>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</si>
  <si>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</si>
  <si>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</si>
  <si>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</si>
  <si>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</si>
  <si>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</si>
  <si>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</si>
  <si>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</si>
  <si>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</si>
  <si>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</si>
  <si>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</si>
  <si>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</si>
  <si>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</si>
  <si>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</si>
  <si>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</si>
  <si>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</si>
  <si>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</si>
  <si>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</si>
  <si>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</si>
  <si>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</si>
  <si>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</si>
  <si>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</si>
  <si>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</si>
  <si>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</si>
  <si>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</si>
  <si>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</si>
  <si>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</si>
  <si>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</si>
  <si>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</si>
  <si>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</si>
  <si>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</si>
  <si>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</si>
  <si>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</si>
  <si>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</si>
  <si>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</si>
  <si>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</si>
  <si>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</si>
  <si>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</si>
  <si>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</si>
  <si>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</si>
  <si>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</si>
  <si>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</si>
  <si>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</si>
  <si>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</si>
  <si>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</si>
  <si>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</si>
  <si>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</si>
  <si>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</si>
  <si>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</si>
  <si>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</si>
  <si>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</si>
  <si>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</si>
  <si>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</si>
  <si>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</si>
  <si>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</si>
  <si>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</si>
  <si>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</si>
  <si>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</si>
  <si>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</si>
  <si>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</si>
  <si>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</si>
  <si>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</si>
  <si>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</si>
  <si>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</si>
  <si>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</si>
  <si>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</si>
  <si>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</si>
  <si>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</si>
  <si>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</si>
  <si>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</si>
  <si>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</si>
  <si>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</si>
  <si>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</si>
  <si>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</si>
  <si>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</si>
  <si>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</si>
  <si>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</si>
  <si>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</si>
  <si>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</si>
  <si>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</si>
  <si>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</si>
  <si>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</si>
  <si>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</si>
  <si>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</si>
  <si>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</si>
  <si>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</si>
  <si>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</si>
  <si>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</si>
  <si>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</si>
  <si>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</si>
  <si>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</si>
  <si>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</si>
  <si>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</si>
  <si>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</si>
  <si>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</si>
  <si>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</si>
  <si>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</si>
  <si>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</si>
  <si>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</si>
  <si>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</si>
  <si>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</si>
  <si>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</si>
  <si>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</si>
  <si>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</si>
  <si>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</si>
  <si>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</si>
  <si>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</si>
  <si>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</si>
  <si>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</si>
  <si>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</si>
  <si>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</si>
  <si>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</si>
  <si>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</si>
  <si>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</si>
  <si>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</si>
  <si>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</si>
  <si>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</si>
  <si>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</si>
  <si>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</si>
  <si>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</si>
  <si>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</si>
  <si>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</si>
  <si>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</si>
  <si>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</si>
  <si>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</si>
  <si>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</si>
  <si>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</si>
  <si>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</si>
  <si>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</si>
  <si>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</si>
  <si>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</si>
  <si>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</si>
  <si>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</si>
  <si>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</si>
  <si>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</si>
  <si>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</si>
  <si>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</si>
  <si>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</si>
  <si>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</si>
  <si>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</si>
  <si>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</si>
  <si>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</si>
  <si>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</si>
  <si>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</si>
  <si>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</si>
  <si>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</si>
  <si>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</si>
  <si>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</si>
  <si>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</si>
  <si>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</si>
  <si>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</si>
  <si>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</si>
  <si>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</si>
  <si>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</si>
  <si>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</si>
  <si>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</si>
  <si>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</si>
  <si>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</si>
  <si>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</si>
  <si>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</si>
  <si>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</si>
  <si>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</si>
  <si>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</si>
  <si>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</si>
  <si>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</si>
  <si>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</si>
  <si>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</si>
  <si>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</si>
  <si>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</si>
  <si>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</si>
  <si>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</si>
  <si>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</si>
  <si>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</si>
  <si>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</si>
  <si>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</si>
  <si>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</si>
  <si>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</si>
  <si>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</si>
  <si>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</si>
  <si>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</si>
  <si>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</si>
  <si>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</si>
  <si>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</si>
  <si>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</si>
  <si>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</si>
  <si>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</si>
  <si>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</si>
  <si>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</si>
  <si>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</si>
  <si>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</si>
  <si>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</si>
  <si>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</si>
  <si>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</si>
  <si>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</si>
  <si>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</si>
  <si>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</si>
  <si>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</si>
  <si>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</si>
  <si>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</si>
  <si>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</si>
  <si>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</si>
  <si>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</si>
  <si>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</si>
  <si>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</si>
  <si>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</si>
  <si>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</si>
  <si>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</si>
  <si>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</si>
  <si>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</si>
  <si>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</si>
  <si>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</si>
  <si>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</si>
  <si>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</si>
  <si>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</si>
  <si>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</si>
  <si>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</si>
  <si>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</si>
  <si>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</si>
  <si>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</si>
  <si>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</si>
  <si>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</si>
  <si>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</si>
  <si>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</si>
  <si>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</si>
  <si>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</si>
  <si>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</si>
  <si>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</si>
  <si>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</si>
  <si>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</si>
  <si>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</si>
  <si>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</si>
  <si>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</si>
  <si>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</si>
  <si>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</si>
  <si>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</si>
  <si>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</si>
  <si>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</si>
  <si>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</si>
  <si>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</si>
  <si>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</si>
  <si>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</si>
  <si>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</si>
  <si>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</si>
  <si>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</si>
  <si>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</si>
  <si>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</si>
  <si>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</si>
  <si>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</si>
  <si>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</si>
  <si>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</si>
  <si>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</si>
  <si>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</si>
  <si>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</si>
  <si>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</si>
  <si>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</si>
  <si>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</si>
  <si>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</si>
  <si>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</si>
  <si>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</si>
  <si>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</si>
  <si>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</si>
  <si>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</si>
  <si>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</si>
  <si>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</si>
  <si>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</si>
  <si>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</si>
  <si>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</si>
  <si>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</si>
  <si>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</si>
  <si>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</si>
  <si>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</si>
  <si>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</si>
  <si>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</si>
  <si>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</si>
  <si>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</si>
  <si>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</si>
  <si>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</si>
  <si>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</si>
  <si>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</si>
  <si>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</si>
  <si>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</si>
  <si>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</si>
  <si>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</si>
  <si>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</si>
  <si>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</si>
  <si>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</si>
  <si>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</si>
  <si>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</si>
  <si>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</si>
  <si>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</si>
  <si>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</si>
  <si>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</si>
  <si>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</si>
  <si>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</si>
  <si>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</si>
  <si>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</si>
  <si>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</si>
  <si>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</si>
  <si>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</si>
  <si>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</si>
  <si>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</si>
  <si>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</si>
  <si>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</si>
  <si>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</si>
  <si>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</si>
  <si>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</si>
  <si>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</si>
  <si>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</si>
  <si>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</si>
  <si>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</si>
  <si>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</si>
  <si>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</si>
  <si>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</si>
  <si>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</si>
  <si>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</si>
  <si>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</si>
  <si>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</si>
  <si>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</si>
  <si>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</si>
  <si>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</si>
  <si>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</si>
  <si>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</si>
  <si>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</si>
  <si>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</si>
  <si>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</si>
  <si>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</si>
  <si>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</si>
  <si>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</si>
  <si>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</si>
  <si>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</si>
  <si>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</si>
  <si>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</si>
  <si>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</si>
  <si>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</si>
  <si>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</si>
  <si>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</si>
  <si>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</si>
  <si>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</si>
  <si>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</si>
  <si>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</si>
  <si>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</si>
  <si>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</si>
  <si>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</si>
  <si>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</si>
  <si>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</si>
  <si>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</si>
  <si>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</si>
  <si>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</si>
  <si>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</si>
  <si>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</si>
  <si>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</si>
  <si>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</si>
  <si>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</si>
  <si>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</si>
  <si>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</si>
  <si>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</si>
  <si>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</si>
  <si>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</si>
  <si>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</si>
  <si>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</si>
  <si>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</si>
  <si>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</si>
  <si>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</si>
  <si>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</si>
  <si>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</si>
  <si>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</si>
  <si>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</si>
  <si>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</si>
  <si>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</si>
  <si>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</si>
  <si>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</si>
  <si>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</si>
  <si>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</si>
  <si>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</si>
  <si>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</si>
  <si>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</si>
  <si>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</si>
  <si>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</si>
  <si>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</si>
  <si>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</si>
  <si>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</si>
  <si>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</si>
  <si>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</si>
  <si>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</si>
  <si>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</si>
  <si>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</si>
  <si>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</si>
  <si>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</si>
  <si>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</si>
  <si>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</si>
  <si>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</si>
  <si>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</si>
  <si>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</si>
  <si>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</si>
  <si>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</si>
  <si>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</si>
  <si>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</si>
  <si>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</si>
  <si>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</si>
  <si>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</si>
  <si>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</si>
  <si>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</si>
  <si>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</si>
  <si>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</si>
  <si>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</si>
  <si>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</si>
  <si>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</si>
  <si>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</si>
  <si>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</si>
  <si>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</si>
  <si>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</si>
  <si>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</si>
  <si>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</si>
  <si>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</si>
  <si>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</si>
  <si>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</si>
  <si>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</si>
  <si>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</si>
  <si>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</si>
  <si>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</si>
  <si>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</si>
  <si>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</si>
  <si>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</si>
  <si>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</si>
  <si>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</si>
  <si>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</si>
  <si>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</si>
  <si>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</si>
  <si>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</si>
  <si>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</si>
  <si>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</si>
  <si>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</si>
  <si>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</si>
  <si>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</si>
  <si>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</si>
  <si>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</si>
  <si>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</si>
  <si>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</si>
  <si>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</si>
  <si>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</si>
  <si>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</si>
  <si>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</si>
  <si>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</si>
  <si>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</si>
  <si>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</si>
  <si>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</si>
  <si>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</si>
  <si>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</si>
  <si>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</si>
  <si>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</si>
  <si>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</si>
  <si>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</si>
  <si>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</si>
  <si>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</si>
  <si>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</si>
  <si>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</si>
  <si>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</si>
  <si>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</si>
  <si>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</si>
  <si>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</si>
  <si>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</si>
  <si>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</si>
  <si>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</si>
  <si>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</si>
  <si>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</si>
  <si>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</si>
  <si>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</si>
  <si>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</si>
  <si>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</si>
  <si>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</si>
  <si>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</si>
  <si>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</si>
  <si>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</si>
  <si>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</si>
  <si>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</si>
  <si>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</si>
  <si>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</si>
  <si>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</si>
  <si>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</si>
  <si>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</si>
  <si>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</si>
  <si>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</si>
  <si>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</si>
  <si>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</si>
  <si>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</si>
  <si>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</si>
  <si>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</si>
  <si>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</si>
  <si>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</si>
  <si>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</si>
  <si>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</si>
  <si>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</si>
  <si>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</si>
  <si>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</si>
  <si>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</si>
  <si>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</si>
  <si>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</si>
  <si>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</si>
  <si>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</si>
  <si>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</si>
  <si>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</si>
  <si>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</si>
  <si>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</si>
  <si>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</si>
  <si>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</si>
  <si>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</si>
  <si>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</si>
  <si>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</si>
  <si>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</si>
  <si>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</si>
  <si>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</si>
  <si>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</si>
  <si>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</si>
  <si>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</si>
  <si>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</si>
  <si>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</si>
  <si>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</si>
  <si>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</si>
  <si>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</si>
  <si>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</si>
  <si>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</si>
  <si>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</si>
  <si>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</si>
  <si>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</si>
  <si>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</si>
  <si>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</si>
  <si>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</si>
  <si>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</si>
  <si>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</si>
  <si>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</si>
  <si>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</si>
  <si>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</si>
  <si>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</si>
  <si>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</si>
  <si>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</si>
  <si>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</si>
  <si>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</si>
  <si>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</si>
  <si>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</si>
  <si>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</si>
  <si>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</si>
  <si>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</si>
  <si>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</si>
  <si>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</si>
  <si>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</si>
  <si>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</si>
  <si>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</si>
  <si>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</si>
  <si>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</si>
  <si>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</si>
  <si>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</si>
  <si>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</si>
  <si>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</si>
  <si>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</si>
  <si>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</si>
  <si>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</si>
  <si>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</si>
  <si>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</si>
  <si>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</si>
  <si>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</si>
  <si>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</si>
  <si>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</si>
  <si>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</si>
  <si>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</si>
  <si>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</si>
  <si>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</si>
  <si>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</si>
  <si>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</si>
  <si>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</si>
  <si>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</si>
  <si>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</si>
  <si>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</si>
  <si>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</si>
  <si>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</si>
  <si>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</si>
  <si>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</si>
  <si>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</si>
  <si>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</si>
  <si>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</si>
  <si>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</si>
  <si>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</si>
  <si>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</si>
  <si>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</si>
  <si>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</si>
  <si>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</si>
  <si>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</si>
  <si>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</si>
  <si>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</si>
  <si>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</si>
  <si>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</si>
  <si>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</si>
  <si>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</si>
  <si>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</si>
  <si>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</si>
  <si>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</si>
  <si>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</si>
  <si>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</si>
  <si>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</si>
  <si>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</si>
  <si>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</si>
  <si>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</si>
  <si>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</si>
  <si>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</si>
  <si>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</si>
  <si>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</si>
  <si>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</si>
  <si>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</si>
  <si>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</si>
  <si>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</si>
  <si>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</si>
  <si>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</si>
  <si>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</si>
  <si>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</si>
  <si>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</si>
  <si>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</si>
  <si>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</si>
  <si>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</si>
  <si>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</si>
  <si>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</si>
  <si>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</si>
  <si>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</si>
  <si>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</si>
  <si>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</si>
  <si>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</si>
  <si>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</si>
  <si>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</si>
  <si>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</si>
  <si>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</si>
  <si>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</si>
  <si>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</si>
  <si>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</si>
  <si>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</si>
  <si>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</si>
  <si>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</si>
  <si>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</si>
  <si>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</si>
  <si>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</si>
  <si>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</si>
  <si>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</si>
  <si>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</si>
  <si>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</si>
  <si>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</si>
  <si>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</si>
  <si>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</si>
  <si>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</si>
  <si>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</si>
  <si>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</si>
  <si>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</si>
  <si>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</si>
  <si>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</si>
  <si>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</si>
  <si>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</si>
  <si>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</si>
  <si>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</si>
  <si>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</si>
  <si>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</si>
  <si>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</si>
  <si>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</si>
  <si>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</si>
  <si>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</si>
  <si>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</si>
  <si>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</si>
  <si>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</si>
  <si>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</si>
  <si>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</si>
  <si>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</si>
  <si>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</si>
  <si>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</si>
  <si>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</si>
  <si>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</si>
  <si>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</si>
  <si>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</si>
  <si>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</si>
  <si>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</si>
  <si>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</si>
  <si>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</si>
  <si>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</si>
  <si>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</si>
  <si>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</si>
  <si>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</si>
  <si>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</si>
  <si>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</si>
  <si>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</si>
  <si>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</si>
  <si>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</si>
  <si>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</si>
  <si>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</si>
  <si>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</si>
  <si>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</si>
  <si>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</si>
  <si>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</si>
  <si>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</si>
  <si>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</si>
  <si>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</si>
  <si>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</si>
  <si>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</si>
  <si>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</si>
  <si>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</si>
  <si>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</si>
  <si>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</si>
  <si>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</si>
  <si>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</si>
  <si>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</si>
  <si>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</si>
  <si>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</si>
  <si>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</si>
  <si>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</si>
  <si>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</si>
  <si>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</si>
  <si>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</si>
  <si>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</si>
  <si>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</si>
  <si>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</si>
  <si>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</si>
  <si>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</si>
  <si>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</si>
  <si>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</si>
  <si>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</si>
  <si>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</si>
  <si>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</si>
  <si>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</si>
  <si>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</si>
  <si>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</si>
  <si>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</si>
  <si>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</si>
  <si>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</si>
  <si>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</si>
  <si>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</si>
  <si>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</si>
  <si>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</si>
  <si>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</si>
  <si>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</si>
  <si>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</si>
  <si>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</si>
  <si>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</si>
  <si>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</si>
  <si>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</si>
  <si>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</si>
  <si>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</si>
  <si>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</si>
  <si>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</si>
  <si>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</si>
  <si>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</si>
  <si>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</si>
  <si>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</si>
  <si>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</si>
  <si>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</si>
  <si>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</si>
  <si>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</si>
  <si>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</si>
  <si>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</si>
  <si>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</si>
  <si>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</si>
  <si>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</si>
  <si>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</si>
  <si>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</si>
  <si>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</si>
  <si>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</si>
  <si>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</si>
  <si>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</si>
  <si>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</si>
  <si>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</si>
  <si>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</si>
  <si>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</si>
  <si>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</si>
  <si>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</si>
  <si>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</si>
  <si>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</si>
  <si>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</si>
  <si>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</si>
  <si>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</si>
  <si>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</si>
  <si>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</si>
  <si>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</si>
  <si>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</si>
  <si>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</si>
  <si>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</si>
  <si>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</si>
  <si>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</si>
  <si>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</si>
  <si>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</si>
  <si>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</si>
  <si>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</si>
  <si>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</si>
  <si>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</si>
  <si>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</si>
  <si>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</si>
  <si>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</si>
  <si>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</si>
  <si>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</si>
  <si>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</si>
  <si>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</si>
  <si>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</si>
  <si>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</si>
  <si>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</si>
  <si>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</si>
  <si>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</si>
  <si>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</si>
  <si>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</si>
  <si>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</si>
  <si>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</si>
  <si>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</si>
  <si>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</si>
  <si>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</si>
  <si>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</si>
  <si>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</si>
  <si>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</si>
  <si>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</si>
  <si>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</si>
  <si>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</si>
  <si>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</si>
  <si>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</si>
  <si>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</si>
  <si>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</si>
  <si>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</si>
  <si>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</si>
  <si>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</si>
  <si>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</si>
  <si>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</si>
  <si>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</si>
  <si>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</si>
  <si>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</si>
  <si>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</si>
  <si>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</si>
  <si>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</si>
  <si>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</si>
  <si>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</si>
  <si>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</si>
  <si>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</si>
  <si>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</si>
  <si>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</si>
  <si>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</si>
  <si>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</si>
  <si>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</si>
  <si>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</si>
  <si>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</si>
  <si>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</si>
  <si>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</si>
  <si>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</si>
  <si>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</si>
  <si>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</si>
  <si>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</si>
  <si>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</si>
  <si>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</si>
  <si>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</si>
  <si>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</si>
  <si>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</si>
  <si>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</si>
  <si>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</si>
  <si>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</si>
  <si>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</si>
  <si>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</si>
  <si>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</si>
  <si>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</si>
  <si>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</si>
  <si>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</si>
  <si>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</si>
  <si>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</si>
  <si>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</si>
  <si>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</si>
  <si>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</si>
  <si>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</si>
  <si>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</si>
  <si>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</si>
  <si>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</si>
  <si>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</si>
  <si>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</si>
  <si>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</si>
  <si>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</si>
  <si>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</si>
  <si>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</si>
  <si>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</si>
  <si>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</si>
  <si>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</si>
  <si>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</si>
  <si>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</si>
  <si>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</si>
  <si>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</si>
  <si>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</si>
  <si>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</si>
  <si>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</si>
  <si>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</si>
  <si>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</si>
  <si>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</si>
  <si>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</si>
  <si>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</si>
  <si>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</si>
  <si>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</si>
  <si>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</si>
  <si>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</si>
  <si>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</si>
  <si>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</si>
  <si>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</si>
  <si>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</si>
  <si>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</si>
  <si>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</si>
  <si>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</si>
  <si>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</si>
  <si>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</si>
  <si>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</si>
  <si>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</si>
  <si>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</si>
  <si>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</si>
  <si>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</si>
  <si>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</si>
  <si>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</si>
  <si>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</si>
  <si>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</si>
  <si>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</si>
  <si>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</si>
  <si>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</si>
  <si>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</si>
  <si>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</si>
  <si>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</si>
  <si>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</si>
  <si>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</si>
  <si>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</si>
  <si>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</si>
  <si>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</si>
  <si>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</si>
  <si>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</si>
  <si>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</si>
  <si>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</si>
  <si>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</si>
  <si>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</si>
  <si>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</si>
  <si>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</si>
  <si>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</si>
  <si>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</si>
  <si>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</si>
  <si>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</si>
  <si>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</si>
  <si>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</si>
  <si>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</si>
  <si>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</si>
  <si>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</si>
  <si>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</si>
  <si>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</si>
  <si>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</si>
  <si>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</si>
  <si>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</si>
  <si>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</si>
  <si>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</si>
  <si>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</si>
  <si>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</si>
  <si>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</si>
  <si>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</si>
  <si>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</si>
  <si>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</si>
  <si>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</si>
  <si>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</si>
  <si>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</si>
  <si>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</si>
  <si>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</si>
  <si>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</si>
  <si>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</si>
  <si>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</si>
  <si>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</si>
  <si>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</si>
  <si>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</si>
  <si>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</si>
  <si>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</si>
  <si>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</si>
  <si>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</si>
  <si>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</si>
  <si>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</si>
  <si>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</si>
  <si>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</si>
  <si>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</si>
  <si>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</si>
  <si>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</si>
  <si>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</si>
  <si>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</si>
  <si>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</si>
  <si>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</si>
  <si>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</si>
  <si>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</si>
  <si>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</si>
  <si>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</si>
  <si>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</si>
  <si>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</si>
  <si>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</si>
  <si>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</si>
  <si>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</si>
  <si>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</si>
  <si>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</si>
  <si>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</si>
  <si>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</si>
  <si>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</si>
  <si>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</si>
  <si>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</si>
  <si>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</si>
  <si>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</si>
  <si>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</si>
  <si>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</si>
  <si>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</si>
  <si>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</si>
  <si>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</si>
  <si>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</si>
  <si>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</si>
  <si>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</si>
  <si>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</si>
  <si>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</si>
  <si>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</si>
  <si>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</si>
  <si>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</si>
  <si>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</si>
  <si>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</si>
  <si>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</si>
  <si>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</si>
  <si>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</si>
  <si>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</si>
  <si>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</si>
  <si>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</si>
  <si>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</si>
  <si>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</si>
  <si>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</si>
  <si>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</si>
  <si>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</si>
  <si>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</si>
  <si>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</si>
  <si>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</si>
  <si>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</si>
  <si>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</si>
  <si>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</si>
  <si>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</si>
  <si>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</si>
  <si>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</si>
  <si>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</si>
  <si>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</si>
  <si>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</si>
  <si>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</si>
  <si>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</si>
  <si>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</si>
  <si>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</si>
  <si>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</si>
  <si>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</si>
  <si>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</si>
  <si>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</si>
  <si>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</si>
  <si>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</si>
  <si>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</si>
  <si>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</si>
  <si>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</si>
  <si>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</si>
  <si>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</si>
  <si>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</si>
  <si>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</si>
  <si>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</si>
  <si>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</si>
  <si>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</si>
  <si>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</si>
  <si>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</si>
  <si>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</si>
  <si>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</si>
  <si>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</si>
  <si>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</si>
  <si>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</si>
  <si>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</si>
  <si>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</si>
  <si>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</si>
  <si>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</si>
  <si>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</si>
  <si>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</si>
  <si>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</si>
  <si>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</si>
  <si>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</si>
  <si>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</si>
  <si>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</si>
  <si>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</si>
  <si>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</si>
  <si>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</si>
  <si>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</si>
  <si>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</si>
  <si>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</si>
  <si>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</si>
  <si>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</si>
  <si>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</si>
  <si>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</si>
  <si>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</si>
  <si>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</si>
  <si>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</si>
  <si>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</si>
  <si>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</si>
  <si>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</si>
  <si>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</si>
  <si>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</si>
  <si>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</si>
  <si>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</si>
  <si>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</si>
  <si>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</si>
  <si>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</si>
  <si>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</si>
  <si>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</si>
  <si>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</si>
  <si>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</si>
  <si>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</si>
  <si>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</si>
  <si>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</si>
  <si>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</si>
  <si>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</si>
  <si>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</si>
  <si>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</si>
  <si>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</si>
  <si>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</si>
  <si>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</si>
  <si>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</si>
  <si>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</si>
  <si>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</si>
  <si>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</si>
  <si>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</si>
  <si>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</si>
  <si>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</si>
  <si>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</si>
  <si>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</si>
  <si>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</si>
  <si>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</si>
  <si>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</si>
  <si>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</si>
  <si>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</si>
  <si>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</si>
  <si>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</si>
  <si>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</si>
  <si>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</si>
  <si>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</si>
  <si>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</si>
  <si>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</si>
  <si>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</si>
  <si>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</si>
  <si>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</si>
  <si>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</si>
  <si>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</si>
  <si>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</si>
  <si>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</si>
  <si>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</si>
  <si>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</si>
  <si>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</si>
  <si>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</si>
  <si>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</si>
  <si>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</si>
  <si>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</si>
  <si>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</si>
  <si>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</si>
  <si>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</si>
  <si>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</si>
  <si>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</si>
  <si>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</si>
  <si>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</si>
  <si>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</si>
  <si>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</si>
  <si>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</si>
  <si>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</si>
  <si>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</si>
  <si>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</si>
  <si>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</si>
  <si>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</si>
  <si>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</si>
  <si>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</si>
  <si>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</si>
  <si>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</si>
  <si>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</si>
  <si>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</si>
  <si>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</si>
  <si>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</si>
  <si>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</si>
  <si>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</si>
  <si>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</si>
  <si>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</si>
  <si>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</si>
  <si>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</si>
  <si>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</si>
  <si>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</si>
  <si>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</si>
  <si>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</si>
  <si>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</si>
  <si>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</si>
  <si>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</si>
  <si>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</si>
  <si>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</si>
  <si>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</si>
  <si>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</si>
  <si>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</si>
  <si>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</si>
  <si>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</si>
  <si>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</si>
  <si>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</si>
  <si>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</si>
  <si>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</si>
  <si>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</si>
  <si>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</si>
  <si>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</si>
  <si>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</si>
  <si>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</si>
  <si>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</si>
  <si>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</si>
  <si>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</si>
  <si>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</si>
  <si>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</si>
  <si>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</si>
  <si>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</si>
  <si>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</si>
  <si>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</si>
  <si>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</si>
  <si>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</si>
  <si>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</si>
  <si>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</si>
  <si>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</si>
  <si>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</si>
  <si>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</si>
  <si>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</si>
  <si>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</si>
  <si>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</si>
  <si>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</si>
  <si>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</si>
  <si>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</si>
  <si>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</si>
  <si>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</si>
  <si>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</si>
  <si>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</si>
  <si>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</si>
  <si>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</si>
  <si>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</si>
  <si>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</si>
  <si>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</si>
  <si>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</si>
  <si>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</si>
  <si>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</si>
  <si>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</si>
  <si>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</si>
  <si>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</si>
  <si>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</si>
  <si>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</si>
  <si>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</si>
  <si>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</si>
  <si>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</si>
  <si>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</si>
  <si>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</si>
  <si>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</si>
  <si>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</si>
  <si>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</si>
  <si>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</si>
  <si>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</si>
  <si>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</si>
  <si>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</si>
  <si>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</si>
  <si>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</si>
  <si>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</si>
  <si>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</si>
  <si>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</si>
  <si>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</si>
  <si>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</si>
  <si>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</si>
  <si>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</si>
  <si>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</si>
  <si>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</si>
  <si>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</si>
  <si>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</si>
  <si>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</si>
  <si>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</si>
  <si>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</si>
  <si>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</si>
  <si>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</si>
  <si>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</si>
  <si>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</si>
  <si>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</si>
  <si>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</si>
  <si>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</si>
  <si>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</si>
  <si>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</si>
  <si>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</si>
  <si>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</si>
  <si>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</si>
  <si>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</si>
  <si>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</si>
  <si>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</si>
  <si>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</si>
  <si>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</si>
  <si>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</si>
  <si>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</si>
  <si>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</si>
  <si>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</si>
  <si>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</si>
  <si>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</si>
  <si>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</si>
  <si>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</si>
  <si>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</si>
  <si>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</si>
  <si>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</si>
  <si>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</si>
  <si>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</si>
  <si>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</si>
  <si>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</si>
  <si>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</si>
  <si>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</si>
  <si>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</si>
  <si>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</si>
  <si>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</si>
  <si>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</si>
  <si>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</si>
  <si>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</si>
  <si>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</si>
  <si>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</si>
  <si>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</si>
  <si>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</si>
  <si>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</si>
  <si>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</si>
  <si>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</si>
  <si>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</si>
  <si>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</si>
  <si>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</si>
  <si>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</si>
  <si>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</si>
  <si>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</si>
  <si>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</si>
  <si>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</si>
  <si>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</si>
  <si>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</si>
  <si>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</si>
  <si>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</si>
  <si>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</si>
  <si>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</si>
  <si>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</si>
  <si>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</si>
  <si>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</si>
  <si>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</si>
  <si>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</si>
  <si>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</si>
  <si>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</si>
  <si>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</si>
  <si>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</si>
  <si>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</si>
  <si>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</si>
  <si>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</si>
  <si>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</si>
  <si>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</si>
  <si>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</si>
  <si>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</si>
  <si>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</si>
  <si>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</si>
  <si>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</si>
  <si>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</si>
  <si>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</si>
  <si>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</si>
  <si>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</si>
  <si>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</si>
  <si>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</si>
  <si>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</si>
  <si>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</si>
  <si>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</si>
  <si>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</si>
  <si>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</si>
  <si>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</si>
  <si>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</si>
  <si>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</si>
  <si>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</si>
  <si>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</si>
  <si>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</si>
  <si>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</si>
  <si>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</si>
  <si>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</si>
  <si>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</si>
  <si>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</si>
  <si>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</si>
  <si>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</si>
  <si>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</si>
  <si>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</si>
  <si>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</si>
  <si>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</si>
  <si>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</si>
  <si>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</si>
  <si>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</si>
  <si>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</si>
  <si>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</si>
  <si>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</si>
  <si>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</si>
  <si>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</si>
  <si>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</si>
  <si>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</si>
  <si>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</si>
  <si>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</si>
  <si>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</si>
  <si>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</si>
  <si>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</si>
  <si>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</si>
  <si>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</si>
  <si>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</si>
  <si>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</si>
  <si>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</si>
  <si>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</si>
  <si>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</si>
  <si>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</si>
  <si>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</si>
  <si>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</si>
  <si>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</si>
  <si>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</si>
  <si>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</si>
  <si>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</si>
  <si>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</si>
  <si>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</si>
  <si>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</si>
  <si>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</si>
  <si>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</si>
  <si>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</si>
  <si>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</si>
  <si>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</si>
  <si>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</si>
  <si>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</si>
  <si>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</si>
  <si>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</si>
  <si>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</si>
  <si>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</si>
  <si>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</si>
  <si>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</si>
  <si>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</si>
  <si>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</si>
  <si>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</si>
  <si>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</si>
  <si>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</si>
  <si>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</si>
  <si>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</si>
  <si>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</si>
  <si>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</si>
  <si>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</si>
  <si>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</si>
  <si>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</si>
  <si>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</si>
  <si>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</si>
  <si>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</si>
  <si>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</si>
  <si>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</si>
  <si>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</si>
  <si>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</si>
  <si>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</si>
  <si>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</si>
  <si>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</si>
  <si>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</si>
  <si>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</si>
  <si>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</si>
  <si>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</si>
  <si>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</si>
  <si>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</si>
  <si>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</si>
  <si>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</si>
  <si>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</si>
  <si>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</si>
  <si>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</si>
  <si>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</si>
  <si>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</si>
  <si>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</si>
  <si>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</si>
  <si>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</si>
  <si>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</si>
  <si>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</si>
  <si>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</si>
  <si>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</si>
  <si>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</si>
  <si>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</si>
  <si>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</si>
  <si>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</si>
  <si>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</si>
  <si>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</si>
  <si>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</si>
  <si>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</si>
  <si>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</si>
  <si>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</si>
  <si>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</si>
  <si>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</si>
  <si>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</si>
  <si>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</si>
  <si>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</si>
  <si>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</si>
  <si>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</si>
  <si>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</si>
  <si>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</si>
  <si>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</si>
  <si>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</si>
  <si>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</si>
  <si>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</si>
  <si>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</si>
  <si>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</si>
  <si>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</si>
  <si>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</si>
  <si>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</si>
  <si>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</si>
  <si>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</si>
  <si>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</si>
  <si>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</si>
  <si>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</si>
  <si>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</si>
  <si>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</si>
  <si>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</si>
  <si>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</si>
  <si>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</si>
  <si>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</si>
  <si>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</si>
  <si>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</si>
  <si>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</si>
  <si>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</si>
  <si>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</si>
  <si>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</si>
  <si>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</si>
  <si>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</si>
  <si>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</si>
  <si>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</si>
  <si>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</si>
  <si>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</si>
  <si>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</si>
  <si>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</si>
  <si>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</si>
  <si>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</si>
  <si>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</si>
  <si>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</si>
  <si>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</si>
  <si>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</si>
  <si>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</si>
  <si>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</si>
  <si>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</si>
  <si>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</si>
  <si>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</si>
  <si>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</si>
  <si>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</si>
  <si>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</si>
  <si>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</si>
  <si>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</si>
  <si>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</si>
  <si>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</si>
  <si>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</si>
  <si>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</si>
  <si>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</si>
  <si>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</si>
  <si>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</si>
  <si>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</si>
  <si>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</si>
  <si>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</si>
  <si>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</si>
  <si>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</si>
  <si>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</si>
  <si>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</si>
  <si>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</si>
  <si>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</si>
  <si>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</si>
  <si>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</si>
  <si>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</si>
  <si>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</si>
  <si>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</si>
  <si>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</si>
  <si>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</si>
  <si>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</si>
  <si>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</si>
  <si>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</si>
  <si>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</si>
  <si>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</si>
  <si>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</si>
  <si>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</si>
  <si>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</si>
  <si>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</si>
  <si>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</si>
  <si>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</si>
  <si>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</si>
  <si>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</si>
  <si>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</si>
  <si>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</si>
  <si>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</si>
  <si>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</si>
  <si>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</si>
  <si>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</si>
  <si>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</si>
  <si>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</si>
  <si>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</si>
  <si>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</si>
  <si>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</si>
  <si>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</si>
  <si>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</si>
  <si>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</si>
  <si>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</si>
  <si>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</si>
  <si>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</si>
  <si>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</si>
  <si>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</si>
  <si>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</si>
  <si>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</si>
  <si>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</si>
  <si>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</si>
  <si>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</si>
  <si>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</si>
  <si>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</si>
  <si>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</si>
  <si>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</si>
  <si>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</si>
  <si>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</si>
  <si>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</si>
  <si>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</si>
  <si>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</si>
  <si>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</si>
  <si>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</si>
  <si>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</si>
  <si>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</si>
  <si>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</si>
  <si>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</si>
  <si>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</si>
  <si>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</si>
  <si>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</si>
  <si>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</si>
  <si>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</si>
  <si>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</si>
  <si>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</si>
  <si>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</si>
  <si>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</si>
  <si>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</si>
  <si>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</si>
  <si>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</si>
  <si>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</si>
  <si>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</si>
  <si>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</si>
  <si>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</si>
  <si>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</si>
  <si>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</si>
  <si>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</si>
  <si>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</si>
  <si>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</si>
  <si>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</si>
  <si>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</si>
  <si>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</si>
  <si>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</si>
  <si>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</si>
  <si>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</si>
  <si>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</si>
  <si>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</si>
  <si>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</si>
  <si>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</si>
  <si>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</si>
  <si>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</si>
  <si>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</si>
  <si>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</si>
  <si>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</si>
  <si>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</si>
  <si>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</si>
  <si>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</si>
  <si>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</si>
  <si>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</si>
  <si>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</si>
  <si>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</si>
  <si>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</si>
  <si>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</si>
  <si>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</si>
  <si>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</si>
  <si>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</si>
  <si>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</si>
  <si>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</si>
  <si>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</si>
  <si>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</si>
  <si>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</si>
  <si>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</si>
  <si>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</si>
  <si>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Logo</t>
  </si>
  <si>
    <t>Color Scheme</t>
  </si>
  <si>
    <t>#9FBFAD</t>
  </si>
  <si>
    <t>#748C76</t>
  </si>
  <si>
    <t>#505947</t>
  </si>
  <si>
    <t>#BF7F5A</t>
  </si>
  <si>
    <t>#BF3939</t>
  </si>
  <si>
    <t>#4887E6</t>
  </si>
  <si>
    <t>Accent 1</t>
  </si>
  <si>
    <t>Accent 2</t>
  </si>
  <si>
    <t>Accent 3</t>
  </si>
  <si>
    <t>Accent 4</t>
  </si>
  <si>
    <t>Accent 5</t>
  </si>
  <si>
    <t>Accent 6</t>
  </si>
  <si>
    <t>Emojis</t>
  </si>
  <si>
    <t>🛒</t>
  </si>
  <si>
    <t>👕</t>
  </si>
  <si>
    <t>💰</t>
  </si>
  <si>
    <t>⭐</t>
  </si>
  <si>
    <t>📅</t>
  </si>
  <si>
    <t>Orders</t>
  </si>
  <si>
    <t>Rating</t>
  </si>
  <si>
    <t>Days to deliver</t>
  </si>
  <si>
    <t>Format Codes</t>
  </si>
  <si>
    <t>#,##</t>
  </si>
  <si>
    <t>value with thousand's seperator</t>
  </si>
  <si>
    <t>$#,##,.0k</t>
  </si>
  <si>
    <t>Amount in thousands with one decimal</t>
  </si>
  <si>
    <t>0.0</t>
  </si>
  <si>
    <t>Other numbers</t>
  </si>
  <si>
    <t>Resouces:</t>
  </si>
  <si>
    <t>Excel Dashboard Tutorial Video</t>
  </si>
  <si>
    <t>Adv. Excel Dashboards Course by Chandoo</t>
  </si>
  <si>
    <t>You will get the full workbook in the course!</t>
  </si>
  <si>
    <t>Row Labels</t>
  </si>
  <si>
    <t>Grand Total</t>
  </si>
  <si>
    <t>Count of TX ID</t>
  </si>
  <si>
    <t>Sum of Quantity</t>
  </si>
  <si>
    <t>Sum of Amount</t>
  </si>
  <si>
    <t>Average of Rating C</t>
  </si>
  <si>
    <t>Average of Days to Deliver</t>
  </si>
  <si>
    <t>Values for Display</t>
  </si>
  <si>
    <t>Qty</t>
  </si>
  <si>
    <t>Avg.Rating</t>
  </si>
  <si>
    <t>Avg.Days</t>
  </si>
  <si>
    <t>For Trends</t>
  </si>
  <si>
    <t>Unknown</t>
  </si>
  <si>
    <t>Male</t>
  </si>
  <si>
    <t>Female</t>
  </si>
  <si>
    <t>Other</t>
  </si>
  <si>
    <t>Column Labels</t>
  </si>
  <si>
    <t>For matrix</t>
  </si>
  <si>
    <t>6 To 10</t>
  </si>
  <si>
    <t>More than 10</t>
  </si>
  <si>
    <t>California Total</t>
  </si>
  <si>
    <t>Map Chart (Amount)</t>
  </si>
  <si>
    <t>Map Chart (Quantity)</t>
  </si>
  <si>
    <t>Customer satisfyin g rating</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</si>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</sst>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
    <numFmt numFmtId="165" formatCode="0.0%"/>
  </numFmts>
  <fonts count="5" x14ac:knownFonts="1">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b/>
      <sz val="11"/>
      <color theme="1"/>
      <name val="Aptos Narrow"/>
      <family val="2"/>
    </font>
  </fonts>
  <fills count="9">
    <fill>
      <patternFill patternType="none"/>
    </fill>
    <fill>
      <patternFill patternType="gray125"/>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op>
      <bottom style="thin">
        <color theme="4"/>
      </bottom>
      <diagonal/>
    </border>
  </borders>
  <cellStyleXfs count="2">
    <xf numFmtId="0" fontId="0" fillId="0" borderId="0"/>
    <xf numFmtId="0" fontId="3" fillId="0" borderId="0" applyNumberFormat="0" applyFill="0" applyBorder="0" applyAlignment="0" applyProtection="0"/>
  </cellStyleXfs>
  <cellXfs count="25">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quotePrefix="1"/>
    <xf numFmtId="0" fontId="3" fillId="0" borderId="0" xfId="1"/>
    <xf numFmtId="0" fontId="0" fillId="0" borderId="0" xfId="0" pivotButton="1"/>
    <xf numFmtId="0" fontId="0" fillId="0" borderId="0" xfId="0" applyAlignment="1">
      <alignment horizontal="left"/>
    </xf>
    <xf numFmtId="0" fontId="4" fillId="0" borderId="0" xfId="0" applyFont="1"/>
    <xf numFmtId="164" fontId="0" fillId="0" borderId="0" xfId="0" applyNumberFormat="1"/>
    <xf numFmtId="10" fontId="0" fillId="0" borderId="0" xfId="0" applyNumberFormat="1"/>
    <xf numFmtId="0" fontId="0" fillId="0" borderId="0" xfId="0" applyAlignment="1">
      <alignment vertical="top"/>
    </xf>
    <xf numFmtId="165" fontId="0" fillId="0" borderId="0" xfId="0" applyNumberFormat="1" applyAlignment="1">
      <alignment horizontal="right" vertical="top"/>
    </xf>
    <xf numFmtId="0" fontId="0" fillId="0" borderId="0" xfId="0" applyAlignment="1">
      <alignment horizontal="center" vertical="center"/>
    </xf>
    <xf numFmtId="0" fontId="1" fillId="8" borderId="1" xfId="0" applyFont="1" applyFill="1" applyBorder="1"/>
    <xf numFmtId="0" fontId="1" fillId="0" borderId="0" xfId="0" applyFont="1"/>
    <xf numFmtId="0" fontId="1" fillId="0" borderId="1" xfId="0" applyFont="1" applyBorder="1"/>
    <xf numFmtId="0" fontId="1" fillId="0" borderId="2" xfId="0" applyFont="1" applyBorder="1"/>
    <xf numFmtId="0" fontId="0" fillId="0" borderId="0" xfId="0" applyNumberFormat="1"/>
  </cellXfs>
  <cellStyles count="2">
    <cellStyle name="Hyperlink" xfId="1" builtinId="8"/>
    <cellStyle name="Normal" xfId="0" builtinId="0"/>
  </cellStyles>
  <dxfs count="12">
    <dxf>
      <numFmt numFmtId="164" formatCode="[$$-409]#,##0"/>
    </dxf>
    <dxf>
      <numFmt numFmtId="164" formatCode="[$$-409]#,##0"/>
    </dxf>
    <dxf>
      <numFmt numFmtId="164" formatCode="[$$-409]#,##0"/>
    </dxf>
    <dxf>
      <numFmt numFmtId="164" formatCode="[$$-409]#,##0"/>
    </dxf>
    <dxf>
      <numFmt numFmtId="164" formatCode="[$$-409]#,##0"/>
    </dxf>
    <dxf>
      <numFmt numFmtId="164" formatCode="[$$-409]#,##0"/>
    </dxf>
    <dxf>
      <numFmt numFmtId="0" formatCode="General"/>
    </dxf>
    <dxf>
      <numFmt numFmtId="0" formatCode="General"/>
    </dxf>
    <dxf>
      <numFmt numFmtId="0" formatCode="General"/>
    </dxf>
    <dxf>
      <numFmt numFmtId="166" formatCode="d\-mmm\-yy"/>
    </dxf>
    <dxf>
      <numFmt numFmtId="166" formatCode="d\-mmm\-yy"/>
    </dxf>
    <dxf>
      <numFmt numFmtId="164" formatCode="[$$-409]#,##0"/>
    </dxf>
  </dxfs>
  <tableStyles count="0" defaultTableStyle="TableStyleMedium2" defaultPivotStyle="PivotStyleLight16"/>
  <colors>
    <mruColors>
      <color rgb="FF467651"/>
      <color rgb="FF1CBB01"/>
      <color rgb="FF0EB20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[Sales_Ecommerce_Dashboard.xlsx]Pivots!pvtAmt&amp;Qty</c:name>
    <c:fmtId val="5"/>
  </c:pivotSource>
  <c:chart>
    <c:title>
      <c:tx>
        <c:rich>
          <a:bodyPr rot="0" spcFirstLastPara="1" vertOverflow="ellipsis" vert="horz" wrap="square" anchor="ctr" anchorCtr="1"/>
          <a:lstStyle/>
          <a:p>
            <a:pPr algn="l" rtl="0">
              <a:defRPr lang="en-IN" sz="1400" b="1" i="0" u="none" strike="noStrike" kern="1200" spc="0" baseline="0">
                <a:solidFill>
                  <a:sysClr val="windowText" lastClr="000000"/>
                </a:solidFill>
                <a:latin typeface="+mn-lt"/>
                <a:ea typeface="+mn-ea"/>
                <a:cs typeface="+mn-cs"/>
              </a:defRPr>
            </a:pPr>
            <a:r>
              <a:rPr lang="en-IN" sz="1400" b="1" i="0" u="none" strike="noStrike" kern="1200" spc="0" baseline="0">
                <a:solidFill>
                  <a:sysClr val="windowText" lastClr="000000"/>
                </a:solidFill>
                <a:latin typeface="+mn-lt"/>
                <a:ea typeface="+mn-ea"/>
                <a:cs typeface="+mn-cs"/>
              </a:rPr>
              <a:t>Last 13 weeks Trends - Qty &amp; Amount</a:t>
            </a:r>
          </a:p>
          <a:p>
            <a:pPr algn="l" rtl="0">
              <a:defRPr lang="en-IN" b="1">
                <a:solidFill>
                  <a:sysClr val="windowText" lastClr="000000"/>
                </a:solidFill>
              </a:defRPr>
            </a:pPr>
            <a:endParaRPr lang="en-IN" sz="1400" b="1" i="0" u="none" strike="noStrike" kern="1200" spc="0" baseline="0">
              <a:solidFill>
                <a:sysClr val="windowText" lastClr="000000"/>
              </a:solidFill>
              <a:latin typeface="+mn-lt"/>
              <a:ea typeface="+mn-ea"/>
              <a:cs typeface="+mn-cs"/>
            </a:endParaRPr>
          </a:p>
        </c:rich>
      </c:tx>
      <c:overlay val="0"/>
      <c:spPr>
        <a:solidFill>
          <a:srgbClr val="FFC000"/>
        </a:solidFill>
        <a:ln>
          <a:noFill/>
        </a:ln>
        <a:effectLst/>
      </c:spPr>
      <c:txPr>
        <a:bodyPr rot="0" spcFirstLastPara="1" vertOverflow="ellipsis" vert="horz" wrap="square" anchor="ctr" anchorCtr="1"/>
        <a:lstStyle/>
        <a:p>
          <a:pPr algn="l" rtl="0">
            <a:defRPr lang="en-IN"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strRef>
              <c:f>Pivots!$C$11</c:f>
              <c:strCache>
                <c:ptCount val="1"/>
                <c:pt idx="0">
                  <c:v>Sum of Quantity</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Pivots!$A$12:$A$25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Pivots!$C$12:$C$25</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1-D66B-4023-B14D-53FB12BE1D07}"/>
            </c:ext>
          </c:extLst>
        </c:ser>
        <c:dLbls>
          <c:showLegendKey val="0"/>
          <c:showVal val="0"/>
          <c:showCatName val="0"/>
          <c:showSerName val="0"/>
          <c:showPercent val="0"/>
          <c:showBubbleSize val="0"/>
        </c:dLbls>
        <c:marker val="1"/>
        <c:smooth val="0"/>
        <c:axId val="788014208"/>
        <c:axId val="788023328"/>
      </c:lineChart>
      <c:lineChart>
        <c:grouping val="standard"/>
        <c:varyColors val="0"/>
        <c:ser>
          <c:idx val="0"/>
          <c:order val="0"/>
          <c:tx>
            <c:strRef>
              <c:f>Pivots!$B$11</c:f>
              <c:strCache>
                <c:ptCount val="1"/>
                <c:pt idx="0">
                  <c:v>Sum of Amount</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Pivots!$A$12:$A$25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Pivots!$B$12:$B$25</c:f>
              <c:numCache>
                <c:formatCode>[$$-409]#,##0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0-D66B-4023-B14D-53FB12BE1D07}"/>
            </c:ext>
          </c:extLst>
        </c:ser>
        <c:dLbls>
          <c:showLegendKey val="0"/>
          <c:showVal val="0"/>
          <c:showCatName val="0"/>
          <c:showSerName val="0"/>
          <c:showPercent val="0"/>
          <c:showBubbleSize val="0"/>
        </c:dLbls>
        <c:marker val="1"/>
        <c:smooth val="0"/>
        <c:axId val="798326480"/>
        <c:axId val="754681408"/>
      </c:lineChart>
      <c:catAx>
        <c:axId val="788014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023328"/>
        <c:crosses val="autoZero"/>
        <c:auto val="1"/>
        <c:lblAlgn val="ctr"/>
        <c:lblOffset val="100"/>
        <c:noMultiLvlLbl val="0"/>
      </c:catAx>
      <c:valAx>
        <c:axId val="788023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014208"/>
        <c:crosses val="autoZero"/>
        <c:crossBetween val="between"/>
      </c:valAx>
      <c:valAx>
        <c:axId val="754681408"/>
        <c:scaling>
          <c:orientation val="minMax"/>
        </c:scaling>
        <c:delete val="0"/>
        <c:axPos val="r"/>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326480"/>
        <c:crosses val="max"/>
        <c:crossBetween val="between"/>
      </c:valAx>
      <c:catAx>
        <c:axId val="798326480"/>
        <c:scaling>
          <c:orientation val="minMax"/>
        </c:scaling>
        <c:delete val="1"/>
        <c:axPos val="b"/>
        <c:numFmt formatCode="General" sourceLinked="1"/>
        <c:majorTickMark val="out"/>
        <c:minorTickMark val="none"/>
        <c:tickLblPos val="nextTo"/>
        <c:crossAx val="75468140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[Sales_Ecommerce_Dashboard.xlsx]Orders!pvtOrders</c:name>
    <c:fmtId val="7"/>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solidFill>
                <a:latin typeface="+mn-lt"/>
                <a:ea typeface="+mn-ea"/>
                <a:cs typeface="+mn-cs"/>
              </a:defRPr>
            </a:pPr>
            <a:r>
              <a:rPr lang="en-US" sz="1400" b="1" i="0" u="none" strike="noStrike" kern="1200" spc="0" baseline="0">
                <a:solidFill>
                  <a:sysClr val="windowText" lastClr="000000"/>
                </a:solidFill>
                <a:latin typeface="+mn-lt"/>
                <a:ea typeface="+mn-ea"/>
                <a:cs typeface="+mn-cs"/>
              </a:rPr>
              <a:t>How many they buy?</a:t>
            </a:r>
          </a:p>
          <a:p>
            <a:pPr algn="ctr" rtl="0">
              <a:defRPr lang="en-US" b="1">
                <a:solidFill>
                  <a:sysClr val="windowText" lastClr="000000"/>
                </a:solidFill>
              </a:defRPr>
            </a:pPr>
            <a:r>
              <a:rPr lang="en-US" sz="1400" b="1" i="0" u="none" strike="noStrike" kern="1200" spc="0" baseline="0">
                <a:solidFill>
                  <a:sysClr val="windowText" lastClr="000000"/>
                </a:solidFill>
                <a:latin typeface="+mn-lt"/>
                <a:ea typeface="+mn-ea"/>
                <a:cs typeface="+mn-cs"/>
              </a:rPr>
              <a:t> </a:t>
            </a:r>
          </a:p>
        </c:rich>
      </c:tx>
      <c:overlay val="0"/>
      <c:spPr>
        <a:solidFill>
          <a:srgbClr val="FFC000"/>
        </a:solid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2225">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2225">
            <a:solidFill>
              <a:schemeClr val="accent1"/>
            </a:solidFill>
          </a:ln>
          <a:effectLst/>
        </c:spPr>
      </c:pivotFmt>
    </c:pivotFmts>
    <c:plotArea>
      <c:layout/>
      <c:barChart>
        <c:barDir val="col"/>
        <c:grouping val="clustered"/>
        <c:varyColors val="0"/>
        <c:ser>
          <c:idx val="0"/>
          <c:order val="0"/>
          <c:tx>
            <c:strRef>
              <c:f>Orders!$B$3</c:f>
              <c:strCache>
                <c:ptCount val="1"/>
                <c:pt idx="0">
                  <c:v>Total</c:v>
                </c:pt>
              </c:strCache>
            </c:strRef>
          </c:tx>
          <c:spPr>
            <a:solidFill>
              <a:schemeClr val="accent6"/>
            </a:solidFill>
            <a:ln w="22225">
              <a:solidFill>
                <a:schemeClr val="accent1"/>
              </a:solidFill>
            </a:ln>
            <a:effectLst/>
          </c:spPr>
          <c:invertIfNegative val="0"/>
          <c:cat>
            <c:strRef>
              <c:f>Orders!$A$4:$A$11</c:f>
              <c:strCache>
                <c:ptCount val="7"/>
                <c:pt idx="0">
                  <c:v>1</c:v>
                </c:pt>
                <c:pt idx="1">
                  <c:v>2</c:v>
                </c:pt>
                <c:pt idx="2">
                  <c:v>3</c:v>
                </c:pt>
                <c:pt idx="3">
                  <c:v>4</c:v>
                </c:pt>
                <c:pt idx="4">
                  <c:v>5</c:v>
                </c:pt>
                <c:pt idx="5">
                  <c:v>6 To 10</c:v>
                </c:pt>
                <c:pt idx="6">
                  <c:v>More than 10</c:v>
                </c:pt>
              </c:strCache>
            </c:strRef>
          </c:cat>
          <c:val>
            <c:numRef>
              <c:f>Orders!$B$4:$B$11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ADE5-4770-8C25-340000741914}"/>
            </c:ext>
          </c:extLst>
        </c:ser>
        <c:dLbls>
          <c:showLegendKey val="0"/>
          <c:showVal val="0"/>
          <c:showCatName val="0"/>
          <c:showSerName val="0"/>
          <c:showPercent val="0"/>
          <c:showBubbleSize val="0"/>
        </c:dLbls>
        <c:gapWidth val="0"/>
        <c:overlap val="-27"/>
        <c:axId val="2103770752"/>
        <c:axId val="2103771232"/>
      </c:barChart>
      <c:catAx>
        <c:axId val="2103770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771232"/>
        <c:crosses val="autoZero"/>
        <c:auto val="1"/>
        <c:lblAlgn val="ctr"/>
        <c:lblOffset val="100"/>
        <c:noMultiLvlLbl val="0"/>
      </c:catAx>
      <c:valAx>
        <c:axId val="2103771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770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[Sales_Ecommerce_Dashboard.xlsx]Popular!pvtPopular</c:name>
    <c:fmtId val="41"/>
  </c:pivotSource>
  <c:chart>
    <c:title>
      <c:tx>
        <c:rich>
          <a:bodyPr rot="0" spcFirstLastPara="1" vertOverflow="ellipsis" vert="horz" wrap="square" anchor="ctr" anchorCtr="1"/>
          <a:lstStyle/>
          <a:p>
            <a:pPr algn="l" rtl="0">
              <a:defRPr lang="en-IN" sz="1400" b="1" i="0" u="none" strike="noStrike" kern="1200" spc="0" baseline="0">
                <a:solidFill>
                  <a:sysClr val="windowText" lastClr="000000"/>
                </a:solidFill>
                <a:latin typeface="+mn-lt"/>
                <a:ea typeface="+mn-ea"/>
                <a:cs typeface="+mn-cs"/>
              </a:defRPr>
            </a:pPr>
            <a:r>
              <a:rPr lang="en-IN" sz="1400" b="1" i="0" u="none" strike="noStrike" kern="1200" spc="0" baseline="0">
                <a:solidFill>
                  <a:sysClr val="windowText" lastClr="000000"/>
                </a:solidFill>
                <a:latin typeface="+mn-lt"/>
                <a:ea typeface="+mn-ea"/>
                <a:cs typeface="+mn-cs"/>
              </a:rPr>
              <a:t>Which Products are Popular? Breakdown by Gender</a:t>
            </a:r>
          </a:p>
        </c:rich>
      </c:tx>
      <c:layout>
        <c:manualLayout>
          <c:xMode val="edge"/>
          <c:yMode val="edge"/>
          <c:x val="9.2988376452944155E-4"/>
          <c:y val="1.3938671163918554E-2"/>
        </c:manualLayout>
      </c:layout>
      <c:overlay val="0"/>
      <c:spPr>
        <a:solidFill>
          <a:srgbClr val="FFC000"/>
        </a:solidFill>
        <a:ln>
          <a:noFill/>
        </a:ln>
        <a:effectLst/>
      </c:spPr>
      <c:txPr>
        <a:bodyPr rot="0" spcFirstLastPara="1" vertOverflow="ellipsis" vert="horz" wrap="square" anchor="ctr" anchorCtr="1"/>
        <a:lstStyle/>
        <a:p>
          <a:pPr algn="l" rtl="0">
            <a:defRPr lang="en-IN"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Popular!$B$3:$B$4</c:f>
              <c:strCache>
                <c:ptCount val="1"/>
                <c:pt idx="0">
                  <c:v>Female</c:v>
                </c:pt>
              </c:strCache>
            </c:strRef>
          </c:tx>
          <c:spPr>
            <a:solidFill>
              <a:schemeClr val="accent6"/>
            </a:solidFill>
            <a:ln>
              <a:noFill/>
            </a:ln>
            <a:effectLst/>
          </c:spPr>
          <c:invertIfNegative val="0"/>
          <c:cat>
            <c:strRef>
              <c:f>Popular!$A$5:$A$25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Popular!$B$5:$B$25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249B-4B6B-B1CC-90A8462FB105}"/>
            </c:ext>
          </c:extLst>
        </c:ser>
        <c:ser>
          <c:idx val="1"/>
          <c:order val="1"/>
          <c:tx>
            <c:strRef>
              <c:f>Popular!$C$3:$C$4</c:f>
              <c:strCache>
                <c:ptCount val="1"/>
                <c:pt idx="0">
                  <c:v>Male</c:v>
                </c:pt>
              </c:strCache>
            </c:strRef>
          </c:tx>
          <c:spPr>
            <a:solidFill>
              <a:schemeClr val="accent5"/>
            </a:solidFill>
            <a:ln>
              <a:noFill/>
            </a:ln>
            <a:effectLst/>
          </c:spPr>
          <c:invertIfNegative val="0"/>
          <c:cat>
            <c:strRef>
              <c:f>Popular!$A$5:$A$25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Popular!$C$5:$C$25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475D-44AB-A3BF-CC8C6CE76B7C}"/>
            </c:ext>
          </c:extLst>
        </c:ser>
        <c:ser>
          <c:idx val="2"/>
          <c:order val="2"/>
          <c:tx>
            <c:strRef>
              <c:f>Popular!$D$3:$D$4</c:f>
              <c:strCache>
                <c:ptCount val="1"/>
                <c:pt idx="0">
                  <c:v>Other</c:v>
                </c:pt>
              </c:strCache>
            </c:strRef>
          </c:tx>
          <c:spPr>
            <a:solidFill>
              <a:schemeClr val="accent4"/>
            </a:solidFill>
            <a:ln>
              <a:noFill/>
            </a:ln>
            <a:effectLst/>
          </c:spPr>
          <c:invertIfNegative val="0"/>
          <c:cat>
            <c:strRef>
              <c:f>Popular!$A$5:$A$25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Popular!$D$5:$D$25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475D-44AB-A3BF-CC8C6CE76B7C}"/>
            </c:ext>
          </c:extLst>
        </c:ser>
        <c:ser>
          <c:idx val="3"/>
          <c:order val="3"/>
          <c:tx>
            <c:strRef>
              <c:f>Popular!$E$3:$E$4</c:f>
              <c:strCache>
                <c:ptCount val="1"/>
                <c:pt idx="0">
                  <c:v>Unknown</c:v>
                </c:pt>
              </c:strCache>
            </c:strRef>
          </c:tx>
          <c:spPr>
            <a:solidFill>
              <a:schemeClr val="accent6">
                <a:lumMod val="60000"/>
              </a:schemeClr>
            </a:solidFill>
            <a:ln>
              <a:noFill/>
            </a:ln>
            <a:effectLst/>
          </c:spPr>
          <c:invertIfNegative val="0"/>
          <c:cat>
            <c:strRef>
              <c:f>Popular!$A$5:$A$25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Popular!$E$5:$E$25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475D-44AB-A3BF-CC8C6CE76B7C}"/>
            </c:ext>
          </c:extLst>
        </c:ser>
        <c:dLbls>
          <c:showLegendKey val="0"/>
          <c:showVal val="0"/>
          <c:showCatName val="0"/>
          <c:showSerName val="0"/>
          <c:showPercent val="0"/>
          <c:showBubbleSize val="0"/>
        </c:dLbls>
        <c:gapWidth val="150"/>
        <c:overlap val="100"/>
        <c:axId val="136981824"/>
        <c:axId val="136982304"/>
      </c:barChart>
      <c:catAx>
        <c:axId val="136981824"/>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82304"/>
        <c:crosses val="autoZero"/>
        <c:auto val="1"/>
        <c:lblAlgn val="ctr"/>
        <c:lblOffset val="100"/>
        <c:noMultiLvlLbl val="0"/>
      </c:catAx>
      <c:valAx>
        <c:axId val="136982304"/>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81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[Sales_Ecommerce_Dashboard.xlsx]Popular!PivotTable3</c:name>
    <c:fmtId val="5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6"/>
          </a:solidFill>
          <a:ln>
            <a:noFill/>
          </a:ln>
          <a:effectLst>
            <a:outerShdw blurRad="254000" sx="102000" sy="102000" algn="ctr" rotWithShape="0">
              <a:prstClr val="black">
                <a:alpha val="20000"/>
              </a:prstClr>
            </a:outerShdw>
          </a:effectLst>
        </c:spPr>
        <c:dLbl>
          <c:idx val="0"/>
          <c:layout>
            <c:manualLayout>
              <c:x val="0.12347440944881889"/>
              <c:y val="0.3260333868219079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8"/>
        <c:spPr>
          <a:solidFill>
            <a:schemeClr val="accent6"/>
          </a:solidFill>
          <a:ln>
            <a:noFill/>
          </a:ln>
          <a:effectLst>
            <a:outerShdw blurRad="254000" sx="102000" sy="102000" algn="ctr" rotWithShape="0">
              <a:prstClr val="black">
                <a:alpha val="20000"/>
              </a:prstClr>
            </a:outerShdw>
          </a:effectLst>
        </c:spPr>
        <c:dLbl>
          <c:idx val="0"/>
          <c:layout>
            <c:manualLayout>
              <c:x val="-0.1565421998031496"/>
              <c:y val="0.3178017439763156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9"/>
        <c:spPr>
          <a:solidFill>
            <a:schemeClr val="accent6"/>
          </a:solidFill>
          <a:ln>
            <a:noFill/>
          </a:ln>
          <a:effectLst>
            <a:outerShdw blurRad="254000" sx="102000" sy="102000" algn="ctr" rotWithShape="0">
              <a:prstClr val="black">
                <a:alpha val="20000"/>
              </a:prstClr>
            </a:outerShdw>
          </a:effectLst>
        </c:spPr>
        <c:dLbl>
          <c:idx val="0"/>
          <c:layout>
            <c:manualLayout>
              <c:x val="-0.17590162340818508"/>
              <c:y val="-0.1886893711456799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0"/>
        <c:spPr>
          <a:solidFill>
            <a:schemeClr val="accent6"/>
          </a:solidFill>
          <a:ln>
            <a:noFill/>
          </a:ln>
          <a:effectLst>
            <a:outerShdw blurRad="254000" sx="102000" sy="102000" algn="ctr" rotWithShape="0">
              <a:prstClr val="black">
                <a:alpha val="20000"/>
              </a:prstClr>
            </a:outerShdw>
          </a:effectLst>
        </c:spPr>
        <c:dLbl>
          <c:idx val="0"/>
          <c:layout>
            <c:manualLayout>
              <c:x val="0.2742827279313807"/>
              <c:y val="-0.11805713573891344"/>
            </c:manualLayout>
          </c:layout>
          <c:spPr>
            <a:solidFill>
              <a:sysClr val="windowText" lastClr="000000">
                <a:lumMod val="75000"/>
                <a:lumOff val="25000"/>
                <a:alpha val="94000"/>
              </a:sysClr>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t" anchorCtr="0">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817118807414698"/>
                  <c:h val="0.22093766715179561"/>
                </c:manualLayout>
              </c15:layout>
            </c:ext>
          </c:extLst>
        </c:dLbl>
      </c:pivotFmt>
    </c:pivotFmts>
    <c:plotArea>
      <c:layout/>
      <c:doughnutChart>
        <c:varyColors val="1"/>
        <c:ser>
          <c:idx val="0"/>
          <c:order val="0"/>
          <c:tx>
            <c:strRef>
              <c:f>Popular!$M$3</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C1D-4A42-8626-5F9B49817BBE}"/>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C1D-4A42-8626-5F9B49817BBE}"/>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C1D-4A42-8626-5F9B49817BBE}"/>
              </c:ext>
            </c:extLst>
          </c:dPt>
          <c:dPt>
            <c:idx val="3"/>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C1D-4A42-8626-5F9B49817BBE}"/>
              </c:ext>
            </c:extLst>
          </c:dPt>
          <c:dLbls>
            <c:dLbl>
              <c:idx val="0"/>
              <c:layout>
                <c:manualLayout>
                  <c:x val="0.12347440944881889"/>
                  <c:y val="0.32603338682190791"/>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4C1D-4A42-8626-5F9B49817BBE}"/>
                </c:ext>
              </c:extLst>
            </c:dLbl>
            <c:dLbl>
              <c:idx val="1"/>
              <c:layout>
                <c:manualLayout>
                  <c:x val="-0.1565421998031496"/>
                  <c:y val="0.31780174397631561"/>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4C1D-4A42-8626-5F9B49817BBE}"/>
                </c:ext>
              </c:extLst>
            </c:dLbl>
            <c:dLbl>
              <c:idx val="2"/>
              <c:layout>
                <c:manualLayout>
                  <c:x val="-0.17590162340818508"/>
                  <c:y val="-0.18868937114567996"/>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4C1D-4A42-8626-5F9B49817BBE}"/>
                </c:ext>
              </c:extLst>
            </c:dLbl>
            <c:dLbl>
              <c:idx val="3"/>
              <c:layout>
                <c:manualLayout>
                  <c:x val="0.2742827279313807"/>
                  <c:y val="-0.11805713573891344"/>
                </c:manualLayout>
              </c:layout>
              <c:spPr>
                <a:solidFill>
                  <a:sysClr val="windowText" lastClr="000000">
                    <a:lumMod val="75000"/>
                    <a:lumOff val="25000"/>
                    <a:alpha val="94000"/>
                  </a:sysClr>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t" anchorCtr="0">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817118807414698"/>
                      <c:h val="0.22093766715179561"/>
                    </c:manualLayout>
                  </c15:layout>
                </c:ext>
                <c:ext xmlns:c16="http://schemas.microsoft.com/office/drawing/2014/chart" uri="{C3380CC4-5D6E-409C-BE32-E72D297353CC}">
                  <c16:uniqueId val="{00000007-4C1D-4A42-8626-5F9B49817BBE}"/>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Popular!$L$4:$L$8</c:f>
              <c:strCache>
                <c:ptCount val="4"/>
                <c:pt idx="0">
                  <c:v>Female</c:v>
                </c:pt>
                <c:pt idx="1">
                  <c:v>Male</c:v>
                </c:pt>
                <c:pt idx="2">
                  <c:v>Other</c:v>
                </c:pt>
                <c:pt idx="3">
                  <c:v>Unknown</c:v>
                </c:pt>
              </c:strCache>
            </c:strRef>
          </c:cat>
          <c:val>
            <c:numRef>
              <c:f>Popular!$M$4:$M$8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4C1D-4A42-8626-5F9B49817BBE}"/>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[Sales_Ecommerce_Dashboard.xlsx]Delivery dates!pvtDeliveryDates</c:name>
    <c:fmtId val="6"/>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solidFill>
                <a:latin typeface="+mn-lt"/>
                <a:ea typeface="+mn-ea"/>
                <a:cs typeface="+mn-cs"/>
              </a:defRPr>
            </a:pPr>
            <a:r>
              <a:rPr lang="en-US" sz="1400" b="1" i="0" u="none" strike="noStrike" kern="1200" spc="0" baseline="0">
                <a:solidFill>
                  <a:sysClr val="windowText" lastClr="000000"/>
                </a:solidFill>
                <a:latin typeface="+mn-lt"/>
                <a:ea typeface="+mn-ea"/>
                <a:cs typeface="+mn-cs"/>
              </a:rPr>
              <a:t>How long we take to ship?</a:t>
            </a:r>
          </a:p>
        </c:rich>
      </c:tx>
      <c:overlay val="0"/>
      <c:spPr>
        <a:solidFill>
          <a:srgbClr val="FFC000"/>
        </a:solid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'Delivery dates'!$B$3</c:f>
              <c:strCache>
                <c:ptCount val="1"/>
                <c:pt idx="0">
                  <c:v>Total</c:v>
                </c:pt>
              </c:strCache>
            </c:strRef>
          </c:tx>
          <c:spPr>
            <a:solidFill>
              <a:schemeClr val="accent6"/>
            </a:solidFill>
            <a:ln>
              <a:noFill/>
            </a:ln>
            <a:effectLst/>
          </c:spPr>
          <c:invertIfNegative val="0"/>
          <c:cat>
            <c:strRef>
              <c:f>'Delivery dates'!$A$4:$A$19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'Delivery dates'!$B$4:$B$19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307B-4E62-9F67-9FADAC6528CB}"/>
            </c:ext>
          </c:extLst>
        </c:ser>
        <c:dLbls>
          <c:showLegendKey val="0"/>
          <c:showVal val="0"/>
          <c:showCatName val="0"/>
          <c:showSerName val="0"/>
          <c:showPercent val="0"/>
          <c:showBubbleSize val="0"/>
        </c:dLbls>
        <c:gapWidth val="219"/>
        <c:overlap val="-27"/>
        <c:axId val="137362352"/>
        <c:axId val="137364272"/>
      </c:barChart>
      <c:catAx>
        <c:axId val="137362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64272"/>
        <c:crosses val="autoZero"/>
        <c:auto val="1"/>
        <c:lblAlgn val="ctr"/>
        <c:lblOffset val="100"/>
        <c:noMultiLvlLbl val="0"/>
      </c:catAx>
      <c:valAx>
        <c:axId val="137364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62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[Sales_Ecommerce_Dashboard.xlsx]Delivery dates!pvtRating</c:name>
    <c:fmtId val="5"/>
  </c:pivotSource>
  <c:chart>
    <c:title>
      <c:tx>
        <c:rich>
          <a:bodyPr rot="0" spcFirstLastPara="1" vertOverflow="ellipsis" vert="horz" wrap="square" anchor="ctr" anchorCtr="1"/>
          <a:lstStyle/>
          <a:p>
            <a:pPr algn="ctr" rtl="0">
              <a:defRPr lang="en-IN" sz="1400" b="1" i="0" u="none" strike="noStrike" kern="1200" spc="0" baseline="0">
                <a:solidFill>
                  <a:sysClr val="windowText" lastClr="000000"/>
                </a:solidFill>
                <a:latin typeface="+mn-lt"/>
                <a:ea typeface="+mn-ea"/>
                <a:cs typeface="+mn-cs"/>
              </a:defRPr>
            </a:pPr>
            <a:r>
              <a:rPr lang="en-IN" sz="1400" b="1" i="0" u="none" strike="noStrike" kern="1200" spc="0" baseline="0">
                <a:solidFill>
                  <a:sysClr val="windowText" lastClr="000000"/>
                </a:solidFill>
                <a:latin typeface="+mn-lt"/>
                <a:ea typeface="+mn-ea"/>
                <a:cs typeface="+mn-cs"/>
              </a:rPr>
              <a:t>How satisfied are our customers?</a:t>
            </a:r>
          </a:p>
          <a:p>
            <a:pPr algn="ctr" rtl="0">
              <a:defRPr lang="en-IN" b="1">
                <a:solidFill>
                  <a:sysClr val="windowText" lastClr="000000"/>
                </a:solidFill>
              </a:defRPr>
            </a:pPr>
            <a:endParaRPr lang="en-IN" sz="1400" b="1" i="0" u="none" strike="noStrike" kern="1200" spc="0" baseline="0">
              <a:solidFill>
                <a:sysClr val="windowText" lastClr="000000"/>
              </a:solidFill>
              <a:latin typeface="+mn-lt"/>
              <a:ea typeface="+mn-ea"/>
              <a:cs typeface="+mn-cs"/>
            </a:endParaRPr>
          </a:p>
        </c:rich>
      </c:tx>
      <c:overlay val="0"/>
      <c:spPr>
        <a:solidFill>
          <a:srgbClr val="FFC000"/>
        </a:solidFill>
        <a:ln>
          <a:noFill/>
        </a:ln>
        <a:effectLst/>
      </c:spPr>
      <c:txPr>
        <a:bodyPr rot="0" spcFirstLastPara="1" vertOverflow="ellipsis" vert="horz" wrap="square" anchor="ctr" anchorCtr="1"/>
        <a:lstStyle/>
        <a:p>
          <a:pPr algn="ctr" rtl="0">
            <a:defRPr lang="en-IN"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'Delivery dates'!$B$23:$B$24</c:f>
              <c:strCache>
                <c:ptCount val="1"/>
                <c:pt idx="0">
                  <c:v>1</c:v>
                </c:pt>
              </c:strCache>
            </c:strRef>
          </c:tx>
          <c:spPr>
            <a:solidFill>
              <a:schemeClr val="accent6"/>
            </a:solidFill>
            <a:ln>
              <a:noFill/>
            </a:ln>
            <a:effectLst/>
          </c:spPr>
          <c:invertIfNegative val="0"/>
          <c:cat>
            <c:strRef>
              <c:f>'Delivery dates'!$A$25:$A$28</c:f>
              <c:strCache>
                <c:ptCount val="3"/>
                <c:pt idx="0">
                  <c:v>Jan</c:v>
                </c:pt>
                <c:pt idx="1">
                  <c:v>Feb</c:v>
                </c:pt>
                <c:pt idx="2">
                  <c:v>Mar</c:v>
                </c:pt>
              </c:strCache>
            </c:strRef>
          </c:cat>
          <c:val>
            <c:numRef>
              <c:f>'Delivery dates'!$B$25:$B$28</c:f>
              <c:numCache>
                <c:formatCode>General</c:formatCode>
                <c:ptCount val="3"/>
                <c:pt idx="0">
                  <c:v>7</c:v>
                </c:pt>
                <c:pt idx="1">
                  <c:v>8</c:v>
                </c:pt>
                <c:pt idx="2">
                  <c:v>6</c:v>
                </c:pt>
              </c:numCache>
            </c:numRef>
          </c:val>
          <c:extLst>
            <c:ext xmlns:c16="http://schemas.microsoft.com/office/drawing/2014/chart" uri="{C3380CC4-5D6E-409C-BE32-E72D297353CC}">
              <c16:uniqueId val="{00000000-5891-4727-BB4F-62FC740AE2C2}"/>
            </c:ext>
          </c:extLst>
        </c:ser>
        <c:ser>
          <c:idx val="1"/>
          <c:order val="1"/>
          <c:tx>
            <c:strRef>
              <c:f>'Delivery dates'!$C$23:$C$24</c:f>
              <c:strCache>
                <c:ptCount val="1"/>
                <c:pt idx="0">
                  <c:v>2</c:v>
                </c:pt>
              </c:strCache>
            </c:strRef>
          </c:tx>
          <c:spPr>
            <a:solidFill>
              <a:schemeClr val="accent5"/>
            </a:solidFill>
            <a:ln>
              <a:noFill/>
            </a:ln>
            <a:effectLst/>
          </c:spPr>
          <c:invertIfNegative val="0"/>
          <c:cat>
            <c:strRef>
              <c:f>'Delivery dates'!$A$25:$A$28</c:f>
              <c:strCache>
                <c:ptCount val="3"/>
                <c:pt idx="0">
                  <c:v>Jan</c:v>
                </c:pt>
                <c:pt idx="1">
                  <c:v>Feb</c:v>
                </c:pt>
                <c:pt idx="2">
                  <c:v>Mar</c:v>
                </c:pt>
              </c:strCache>
            </c:strRef>
          </c:cat>
          <c:val>
            <c:numRef>
              <c:f>'Delivery dates'!$C$25:$C$28</c:f>
              <c:numCache>
                <c:formatCode>General</c:formatCode>
                <c:ptCount val="3"/>
                <c:pt idx="0">
                  <c:v>37</c:v>
                </c:pt>
                <c:pt idx="1">
                  <c:v>51</c:v>
                </c:pt>
                <c:pt idx="2">
                  <c:v>39</c:v>
                </c:pt>
              </c:numCache>
            </c:numRef>
          </c:val>
          <c:extLst>
            <c:ext xmlns:c16="http://schemas.microsoft.com/office/drawing/2014/chart" uri="{C3380CC4-5D6E-409C-BE32-E72D297353CC}">
              <c16:uniqueId val="{00000001-5891-4727-BB4F-62FC740AE2C2}"/>
            </c:ext>
          </c:extLst>
        </c:ser>
        <c:ser>
          <c:idx val="2"/>
          <c:order val="2"/>
          <c:tx>
            <c:strRef>
              <c:f>'Delivery dates'!$D$23:$D$24</c:f>
              <c:strCache>
                <c:ptCount val="1"/>
                <c:pt idx="0">
                  <c:v>3</c:v>
                </c:pt>
              </c:strCache>
            </c:strRef>
          </c:tx>
          <c:spPr>
            <a:solidFill>
              <a:schemeClr val="accent4"/>
            </a:solidFill>
            <a:ln>
              <a:noFill/>
            </a:ln>
            <a:effectLst/>
          </c:spPr>
          <c:invertIfNegative val="0"/>
          <c:cat>
            <c:strRef>
              <c:f>'Delivery dates'!$A$25:$A$28</c:f>
              <c:strCache>
                <c:ptCount val="3"/>
                <c:pt idx="0">
                  <c:v>Jan</c:v>
                </c:pt>
                <c:pt idx="1">
                  <c:v>Feb</c:v>
                </c:pt>
                <c:pt idx="2">
                  <c:v>Mar</c:v>
                </c:pt>
              </c:strCache>
            </c:strRef>
          </c:cat>
          <c:val>
            <c:numRef>
              <c:f>'Delivery dates'!$D$25:$D$28</c:f>
              <c:numCache>
                <c:formatCode>General</c:formatCode>
                <c:ptCount val="3"/>
                <c:pt idx="0">
                  <c:v>150</c:v>
                </c:pt>
                <c:pt idx="1">
                  <c:v>182</c:v>
                </c:pt>
                <c:pt idx="2">
                  <c:v>163</c:v>
                </c:pt>
              </c:numCache>
            </c:numRef>
          </c:val>
          <c:extLst>
            <c:ext xmlns:c16="http://schemas.microsoft.com/office/drawing/2014/chart" uri="{C3380CC4-5D6E-409C-BE32-E72D297353CC}">
              <c16:uniqueId val="{00000002-5891-4727-BB4F-62FC740AE2C2}"/>
            </c:ext>
          </c:extLst>
        </c:ser>
        <c:ser>
          <c:idx val="3"/>
          <c:order val="3"/>
          <c:tx>
            <c:strRef>
              <c:f>'Delivery dates'!$E$23:$E$24</c:f>
              <c:strCache>
                <c:ptCount val="1"/>
                <c:pt idx="0">
                  <c:v>4</c:v>
                </c:pt>
              </c:strCache>
            </c:strRef>
          </c:tx>
          <c:spPr>
            <a:solidFill>
              <a:schemeClr val="accent6">
                <a:lumMod val="60000"/>
              </a:schemeClr>
            </a:solidFill>
            <a:ln>
              <a:noFill/>
            </a:ln>
            <a:effectLst/>
          </c:spPr>
          <c:invertIfNegative val="0"/>
          <c:cat>
            <c:strRef>
              <c:f>'Delivery dates'!$A$25:$A$28</c:f>
              <c:strCache>
                <c:ptCount val="3"/>
                <c:pt idx="0">
                  <c:v>Jan</c:v>
                </c:pt>
                <c:pt idx="1">
                  <c:v>Feb</c:v>
                </c:pt>
                <c:pt idx="2">
                  <c:v>Mar</c:v>
                </c:pt>
              </c:strCache>
            </c:strRef>
          </c:cat>
          <c:val>
            <c:numRef>
              <c:f>'Delivery dates'!$E$25:$E$28</c:f>
              <c:numCache>
                <c:formatCode>General</c:formatCode>
                <c:ptCount val="3"/>
                <c:pt idx="0">
                  <c:v>312</c:v>
                </c:pt>
                <c:pt idx="1">
                  <c:v>373</c:v>
                </c:pt>
                <c:pt idx="2">
                  <c:v>351</c:v>
                </c:pt>
              </c:numCache>
            </c:numRef>
          </c:val>
          <c:extLst>
            <c:ext xmlns:c16="http://schemas.microsoft.com/office/drawing/2014/chart" uri="{C3380CC4-5D6E-409C-BE32-E72D297353CC}">
              <c16:uniqueId val="{00000007-5891-4727-BB4F-62FC740AE2C2}"/>
            </c:ext>
          </c:extLst>
        </c:ser>
        <c:ser>
          <c:idx val="4"/>
          <c:order val="4"/>
          <c:tx>
            <c:strRef>
              <c:f>'Delivery dates'!$F$23:$F$24</c:f>
              <c:strCache>
                <c:ptCount val="1"/>
                <c:pt idx="0">
                  <c:v>5</c:v>
                </c:pt>
              </c:strCache>
            </c:strRef>
          </c:tx>
          <c:spPr>
            <a:solidFill>
              <a:schemeClr val="accent5">
                <a:lumMod val="60000"/>
              </a:schemeClr>
            </a:solidFill>
            <a:ln>
              <a:noFill/>
            </a:ln>
            <a:effectLst/>
          </c:spPr>
          <c:invertIfNegative val="0"/>
          <c:cat>
            <c:strRef>
              <c:f>'Delivery dates'!$A$25:$A$28</c:f>
              <c:strCache>
                <c:ptCount val="3"/>
                <c:pt idx="0">
                  <c:v>Jan</c:v>
                </c:pt>
                <c:pt idx="1">
                  <c:v>Feb</c:v>
                </c:pt>
                <c:pt idx="2">
                  <c:v>Mar</c:v>
                </c:pt>
              </c:strCache>
            </c:strRef>
          </c:cat>
          <c:val>
            <c:numRef>
              <c:f>'Delivery dates'!$F$25:$F$28</c:f>
              <c:numCache>
                <c:formatCode>General</c:formatCode>
                <c:ptCount val="3"/>
                <c:pt idx="0">
                  <c:v>224</c:v>
                </c:pt>
                <c:pt idx="1">
                  <c:v>247</c:v>
                </c:pt>
                <c:pt idx="2">
                  <c:v>250</c:v>
                </c:pt>
              </c:numCache>
            </c:numRef>
          </c:val>
          <c:extLst>
            <c:ext xmlns:c16="http://schemas.microsoft.com/office/drawing/2014/chart" uri="{C3380CC4-5D6E-409C-BE32-E72D297353CC}">
              <c16:uniqueId val="{00000008-5891-4727-BB4F-62FC740AE2C2}"/>
            </c:ext>
          </c:extLst>
        </c:ser>
        <c:dLbls>
          <c:showLegendKey val="0"/>
          <c:showVal val="0"/>
          <c:showCatName val="0"/>
          <c:showSerName val="0"/>
          <c:showPercent val="0"/>
          <c:showBubbleSize val="0"/>
        </c:dLbls>
        <c:gapWidth val="219"/>
        <c:overlap val="-27"/>
        <c:axId val="1628435824"/>
        <c:axId val="1628436304"/>
      </c:barChart>
      <c:catAx>
        <c:axId val="162843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436304"/>
        <c:crosses val="autoZero"/>
        <c:auto val="1"/>
        <c:lblAlgn val="ctr"/>
        <c:lblOffset val="100"/>
        <c:noMultiLvlLbl val="0"/>
      </c:catAx>
      <c:valAx>
        <c:axId val="1628436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435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rich>
          <a:bodyPr spcFirstLastPara="1" vertOverflow="ellipsis" horzOverflow="overflow" wrap="square" lIns="0" tIns="0" rIns="0" bIns="0" anchor="ctr" anchorCtr="1"/>
          <a:lstStyle/>
          <a:p>
            <a:pPr algn="ctr" rtl="0">
              <a:defRPr>
                <a:solidFill>
                  <a:sysClr val="windowText" lastClr="000000"/>
                </a:solidFill>
              </a:defRPr>
            </a:pPr>
            <a:r>
              <a:rPr lang="en-US" sz="1400" b="1" i="0" u="none" strike="noStrike" baseline="0">
                <a:solidFill>
                  <a:sysClr val="windowText" lastClr="000000"/>
                </a:solidFill>
                <a:latin typeface="Aptos Narrow" panose="02110004020202020204"/>
              </a:rPr>
              <a:t>Where do our customers live?</a:t>
            </a:r>
          </a:p>
          <a:p>
            <a:pPr algn="ctr" rtl="0">
              <a:defRPr>
                <a:solidFill>
                  <a:sysClr val="windowText" lastClr="000000"/>
                </a:solidFill>
              </a:defRPr>
            </a:pPr>
            <a:endParaRPr lang="en-US" sz="1400" b="1" i="0" u="none" strike="noStrike" baseline="0">
              <a:solidFill>
                <a:sysClr val="windowText" lastClr="000000"/>
              </a:solidFill>
              <a:latin typeface="Aptos Narrow" panose="02110004020202020204"/>
            </a:endParaRPr>
          </a:p>
        </cx:rich>
      </cx:tx>
      <cx:spPr>
        <a:solidFill>
          <a:srgbClr val="FFC000"/>
        </a:solidFill>
      </cx:spPr>
    </cx:title>
    <cx:plotArea>
      <cx:plotAreaRegion>
        <cx:plotSurface>
          <cx:spPr>
            <a:noFill/>
            <a:ln>
              <a:solidFill>
                <a:schemeClr val="tx1">
                  <a:lumMod val="15000"/>
                  <a:lumOff val="85000"/>
                </a:schemeClr>
              </a:solidFill>
            </a:ln>
          </cx:spPr>
        </cx:plotSurface>
        <cx:series layoutId="regionMap" uniqueId="{2D27886C-6F9E-496D-B11E-7ED34E4654CD}">
          <cx:tx>
            <cx:txData>
              <cx:f>_xlchart.v5.6</cx:f>
              <cx:v>Sum of Quantity</cx:v>
            </cx:txData>
          </cx:tx>
          <cx:spPr>
            <a:ln>
              <a:solidFill>
                <a:schemeClr val="tx1">
                  <a:lumMod val="15000"/>
                  <a:lumOff val="85000"/>
                  <a:alpha val="99000"/>
                </a:schemeClr>
              </a:solidFill>
            </a:ln>
          </cx:spPr>
          <cx:dataId val="0"/>
          <cx:layoutPr>
            <cx:geography cultureLanguage="en-US" cultureRegion="IN" attribution="Powered by Bing">
              <cx:geoCache provider="{E9337A44-BEBE-4D9F-B70C-5C5E7DAFC167}">
                <cx:binary>3H1pc9y2svZfcfnzSwUbCeLUyakKyJnRaJcl23G+sMbSmPsGcP/1t2nJiYYzcka3Mve9d+TEiU02
2MADNHpD498P3b8ekvVKvevSJNP/euh+fR9UVfGvX37RD8E6XemTNHxQuc6/VScPefpL/u1b+LD+
5VGt2jDzfyEIs18egpWq1t37//wbWvPX+UX+sKrCPLut16r/sNZ1UumfPNv56N3qMQ0zN9SVCh8q
/Ot7Z5WE33KVhav3m88IPMuzSq3eObmuxt/rrOrfv1tnVVj1932x/vX9RmPk/btfpt/c4u9dAl2o
6kcgpvYJwrYQlHLx/cd+/y7JM//5sYEJOcGU2SbH8OTps1erFCjfytd3rlaPj2qtNXTy+39faWWj
R/DOb3uOysM4OiMqPgD06/uPWVitH9/dVatqrd+/C3X+ffhU7+Rj1z/efR+rXzZx/c+/J38Bozf5
mxfQT4f67x5tovs3yP+WwEA/HgJ0fmIjZhPbok+g823QCSeMWzCdXmL+Bo52wz1tYA+kpyRHBjIs
/VWzVit9kLWNhUUw4Rx9/wE0N9c2OrFsJAhl1ibOb2JqN9LbTeyB9TbRkaF9t8reueHazw+ANjnh
2OSmIFMRjvkJtqiNbWo+LfdNsN/E026wt5vYA+xtoiMD+7ekCLP1AZC2TyxBTQubbPeejcUJhx/T
5GwT6v052o3zhH4PkCcUR4bwl/rrIbZncYIZNk0sXpPb+MS0uWUzi27iuy8/u9HdoN4D2433jwzZ
39LVY64OsnYp6FWI2LA0p5sx54QIisT3zRpvQrs/Q7vBndDvAe+E4sgAdtfJu6scTLt/HmOGT7jJ
AMzRsBp/ttRrdkIQo6BeT/TrNzG1G+ftJvaAepvoyNC+zB/zh4MgzQQSpsDWE9KgR08XtckI7NN4
Iqn3Zmg3ypvkeyC8SXBs6K4ewYL65+Gl1gnYT9Qk3HwyoEAmT+FFFnhHGBab0vpyb45ewXeTfh+A
NymODGFZV4eQ1FScmBjMX/SaJk1A0zKZhTGZbMd7M7Qb303yPeDdJPg/gO7PWdzo8egGAxffqz7N
t7o0+QlIXMsS+EmRQtNVC+aRhTnhoGQ/Se0f3352bL5wxr7O025cwYGx25H71MWfD8r/OQflvQrB
xdr/84KXoRNOQepy83lf3dKgyImAVYupNVmXb2BpN4LTBjZm6m5f9JTkyFCeJe/cXIE59M/jDNEH
ToRlkmc/tIBtdLrBQlwCQ/zB2mUUvYm13XhvN7EH4ttER4a5kye1PoRGJcDyAYcz+K6eNKotlzQ5
QcimlmDmRCrvzdFunCc92gPkCcWRIXyx0nqd/fNLGkQ3+K6YLcgTwAgMn+mStuAxsy0Q6i+DS/tz
tBvhCf0eCE8ojgzhOURas0MIbQs2Z2yBf/JZfZoK7dH9bJvwC0/W8P4c7UZ4Qr8HwhOKI0P4vgah
mB4kxMBPhE0EY+De+LHxTlcxtQnGNpk4Nt7C026Ut1rYA+ctmiNDepGsswMI69H+JaBGC7LluIK0
D2FjDs6PTSm9Nye7wd0k3wPZTYIjg/W0Tr/myWN1kG2Y2xZmbBtZBtFgTBGkf+yyft/C0m6It1rY
A+UtmiMDepkWaxWukn8eaAphfwj5m4ziJ0k91beweWLCZm1iiDqNPxOD+S2c7cZ7q4U98N6iOTa8
s/4wmpeNCEhs/hz439K8bJDawrJse5Kst9yTn1cQfkm9D7ov3z8yZCFrZczDVPVwgLUM8QbOMEM/
wknTTB5IxoTIsY2QmCRsvY2r3SjvaGMPrHdQHRni52t1CNXLPKH8e+ThSSzv8lKPmbkY/KCbGti+
/OxGeYN6D3w33j8yZGHuvjvLV2UdHgJgMKHAgc0Ie/aETDdmiC0RQcDCEk++sMnG/EbmdqO9q5E9
QN9FdmTY3ySrh/VhEnxswUeX9bPlvAN22L9BWyNP6vckcrw/X7sRn9DvAfaE4shwPoeTHIfIrbZO
QDBDjjx7zqndUsUgyAjPIHA8Fd/7MrQb383+7AHvJsGRoTsKqos61O+uv4a6OITKbZ4Qm1gY/NVP
5tU0mEwghx52cMgQmCzk/wZruxF/raE9sH+N9MhmwWV+ED+3DXkEJnhRnv0kW2l84OcmoI1Dlu4E
+n352Y33BvUeIG+8f2TIXqziAyRogtsT0i8x4EafFvWOKKTAJrYgyXpT996Xn93IblDvgezG+0eG
7NWqOER8GdasgF0Ztt0nZLe0LwLyfEwdsSd+7X352Y3sBvUeyG68f2TIXuT63W+Zv07Wh9C72Aky
CaH2D71r6iLBMAMYhRx7WN7jz8SqeiNzu9He1cgeoO8iOzLsQeEA75hcqa+rgyTkshOwpiFzAHL7
fgQvNsKSY2qfsCmDxLAfz1+mGLyZvd34725mjxmwm/DI5sDlCtICD+AcBX8KZ+BRQc/JYtOVD85R
k+Jxckyc33sztBvtTfI9UN4kOEJ0i/wguWH8BDLpIevTfnaYTU0tWNzCYtwmoLh9/9nUzcZh35ez
15HeaGFPsDdojg1vKD+xVusDJPnC6QqLW5xT9HzMcUtXwyeWacEhx2kZArB49ubpFaSnLeyD9JTm
2JBeZ3BIKjyIKT2eaIUly/mzWj5d2oRCXii3KB2N7Jc79uVbmHoF660m9gF7i+jI0L6vk5U6hG0N
jlGKMIjwVzLHRq+JgAA1NmG9v4R6f4524zyh3wPkCcWRIXy5Vg9Q/sb5x0sG8ROKLGH96RjbUsQg
BdiGw+uYs10m2P587cZ5Qr8HzhOKI8P5bjwbd4hIFghtSgjUj3k2trZwhv2ZmJBjtpWNsDdHuxGe
9GgPhCcUx4ZwtcpCnazqQzhUOMSpEOR5Wq/5QjGcyBhdKnxiVkFdrTdw9QrS223sg/Y21bEhDhGN
9DD+UUaFBS7S13Tu71WELAaW2ObufLc3R68gvUm/D8qbFEeG8NW6WR2kthuoVxbhNkXPJ6x2WFUI
wplw4nkS29ifo90IT+j3QHhCcWQIg7Pv3SWUHjxEVPq7q4RzqAL15AkBq2nDDwq+MAhNgs3FJv7v
NzG1G+ftJvaAepvoyND+EEIVPx0+HsKkonAYB5mUPmcKbqcKgkYONf4g1WQSiH4TU7vR3m5iD7S3
iY4M7Wu1ggjXAWwrCtn8kDtmW6+VdoPSnSaUiLKmga39OdqN84R+D5AnFEeG8F2o47DP638e47E8
FMXg5f5RfXWaOgbC2wJ93ITSMhMd7A087UZ5q1d74LxFc2RI38AZyoOUX4VwBbU4FDd4tp+3NmkE
RSxsqB5FJ+dk9+doN8oT+j0wnlAcGcKfwM1YHygeTWwoV4Beq5793dkJub4WmhjPb2BpN8bTBvYA
eUpyZCiPKqZcQ0GaQyjcFmy74OuCYmBPCveWzMYnDBEEJy4nVtXbuNqN9Y429oB7B9XRIf6goER6
dhDE7ROTQ5ldyPt9xcQCxMX4Cw7x7Eg0ulu9hbfXcN9qYy/ct6iODvdxpatspR4PE66EI9Ig1aFg
9rNPdOpDgYraUBwBwTmPiYL2XQS9hbHXgN/Zwb3A30l5hBNgDibYQ6gf8h8Q/BO3YXCoXIIQh/Dk
K2KejAlooLzTHcj/ydE+NsPrwG83syfu24RHBvuXPDnE3g7l1DmcqIak4KkXDSw1DpmkUC/hxyR7
KhG4LyO7Qd6g3gPbjfePDNK7cK0OoplDZRMLQYka+2l33lWGCh5CLqm9+/Tl3nztxnjSrz1QnlAc
G85Px+Yh5+QQUS3wf0LGN5zmeBbbOyLVY8YJBD0mljboyONp/n3ZegXrHY3sA/gOsmNDPU9WB8kn
G49mgZt0TB78oXxP4x+ICVjaW+bY3hy9gvUm/T4wb1IcG8LB6iD3kkEZQbi9BG6toa/dgUFO4Eob
ZIMbdXNvvtubo1cQ3qTfB+FNiiND+H4drA6RigAIQ0kiC07zvHKWY4xhwkkOqL79lA8+0cH252s3
zhP6PXCeUPz/wPn1m+j+vOTPXVWr2ffrAV9cRvfzp98HCO42nJA+Z2futqueMjeXj7++h5ReCocy
YBn+efPg2NBGbufoi/rTPPmxXjeJ1yBIfn3//cJBiFxz0NvA/4L5WFm/XT8/omCXc5sLkAsWXEgI
23wGV3gEcI0hHA6Bg39gkv9FpfP6+RG4ceDAH8IU7mmA2jp/3uV4kye9n2d/Ds7zn99ldXqTh1ml
f30PWTDF01sjtya0bnPGIC0dKlNTxBD0unhYfRjP9MNI/D8zgeq1kaeG66H6XNqerIdKvhiYHV8Y
W/jrC6M2ChqrDcnQDKqDwCdGDl58YSg8q+gKiq91Z0iF5mYSSm0+Ns3pz7+z2ZPt74Bm9PI7uYGL
UoUmvjaLxsHqouWPP/8AGVv4WU8g/vHyCz4uM1IH0BPScdmwj1x8y43eEca1qJsZJcjRzZeiPq3D
myr3JA7XUTD3/RuS31bZnd8WsirPLdOf2V4mfXZbR3dtGridSP9mKDCc/fwppzCxXnJKQ8OrWjWO
BZ15QyrL4nPdhE6O2XXrhdLzYhn237hBZAn/a1uh8/OhGlPpthiAYprfq1wzcDOjTQYy28dVg3h/
3TdRiB0sVHIRM0Irpy9YWTgiQlm9jGz7THVamnX7ASetJdss950GGYOjzDKQpKhRM698dNYKCIgs
kvR3ktKz1kOaSmJE+GNH02hBYxHZ0rMrmUXRTFlqWdS9JE05x1XvNlW/CIbrxgpnqc9kXhqytoaF
6sRNSm68IZp79e/aS6Sv77VvX9IqkSq23CYDBtp8SU3T4UMi+6hwY/M+L8rStagvh1LBIGKnxvUF
R+msLU778ncdpbI3qCzb7BxX7DaKLqMuXTQZyT+mZiILOtBZLu4rZrksMmXUdL40Q5+5LCxtF9kp
m+Vx8qUyCpmmg5LC9LQb++zi5wjREYG/JvPWwh8NiZdTpA2FjqpOD9doQU+95XBRfaYLe6mutcQX
1WnpqJntCqefU+dMnaXz3O2+GMt4Xi3QwroM59HlzxkaF89f/GwvX3BRvuSHJUnN03HK5vEyj2XW
ukrLcl6ivxFHu2bmS3E0EXh2mA5JEMB3jEwm991j6Tth7TDiWt7fLAK8OcRPXXq5CGDDf9klAf1X
VITkOqBOdBN3bt05ypetnkXC8a/bv+vaLgkIGc4QvQOz0TbFBNLUSjvOE0qu20jLbPjaGDc/x2iX
AHz5gcnYoSzkWeMTcq0btzZj2RqO7uK/AejvPjKRsqIT1tDb8BHRnA/lWWXdE+uPn/dj15b0sh8T
8djDXq1UapJrqJfhdEkrkfVBRFci6J768qy13DzN36ft9iEvehX6wfPtyX/+8T/3eQr/fL9z96+/
HC9f/utPlz9ubZ6+NX7oz9fgO88fHtWRjT9s6UevaEBP9zu/8vBt6hFM9tfVo6fw+w69CKj+1IvQ
CUSivp9shyOuUOLxhV40hqJGvQiKA8K2SWHhPOtFYzV2eIRtxk3Qpfl4vOqHXgQeMsgDhmlPwJKG
28jMt+hFYJZtCCQQkAxuryNQMkNA8hIcwR6fv9BbWOBnGfV62EOTtopPw6aB3dIu48vISxw26Fs7
GD572pOkrJJF64vPRhhomQaeNHN/IbykkGHcfVRVEcxorm6tJl+A0/a89nwHluqSdtod6lMzMr7k
vn/m+fPA9q9xJPzLPNS2Y5m9cDkeOhlrq5VWPzwmTESyH5ce8+wvnHnJzKZGNWdt9WXI09OWUN+l
ZnMTthWdlZkRwnN0PjQd7IeUXjLwH8qaJ58yA3bIVKF1WOhv7UAebaMI3byOA0eR7i61u9aJO/al
7Y3PamCW7IbSjcD56DSDuMqsvj83WPzBwn0juywdZOdFLtx+Ai96+pvp1Qxe1A+qwS4mOXEjEo5q
B4jZNFClHHL6gOLfzf4m0NYgNXJCs1WnViQC1+OVclva9swxY9SlMgsordyC9u1SaVqJFQ6Z18zC
TqWnQdYEjuiy+BSFfTlLIqOWFeuKGfIULGskupkmdjJHfR8vKWkUdqxQNbL32+o26EsMHUvUbZPT
aFEXTSkLnsBQac+XWjEkgzLyZZrFRKal9Xs+KCLbOm5nTDFb5rmOZ1UdmLITeTrzhGcuLN72tzA3
mYzqCLlR2zhBbuVnIgE1zItZeOmZKHJbUeuzwG/4olN+LzMG11e4JQkDaQTUW+C4/kZEbi/KoKyd
Mvb8U2wZX5sK4INyIOWsaRIqQR+NZKiN/BT0+rUwclPWZdvOsgKmqhJsmaBaO7kZJTc29eMZ1pkl
Y6MPZwJnbMES6s/iRpsLOyjXaYfFwuyTQJbKSG74kPtnMHKDjLw2W9k5B22oD9GphxiMDTKQzEgT
S4qrWLmY8ximk5F9LfrMl7kOCej4OpCVbajzluftud+CAieCIJQFhCoXRWUlMwCPSU+b30LGmWR9
8A0bjC406o1AoiGli0gUgVS2zb6iNIxl4KWBbNOQSz9VFqi1rJl5fosN4DKz3Cirk6+w5vwzFRF0
2g5xVs2CyB7QrKN2NxeNqaJvSZr3pzYUwLrNMehyxOb6vPIGpM5pEToKdfeJgX03QYkpMyrieZ6U
n3pD+A4avErmos1nOugcs9FfDL/8DI68AbRP0c6CdOhmTZrnMkI8lbyPPuEsv4lKHf7Ri4FLEvjB
RV/btmRFJYuhvgWrzZamlYBynvFyKWprHSTNHzXy5q1vB04njG9tVGnHzMIv1IjOEpb83lktX1Bt
WE6SqlGIiEsYimUdg0EC69SoYV5UqX2PbPOmxMFZAfcsy0zlVxyxB2KJz01idC5W3U01KHtpK3Wa
D/pOD+JjGVjeDFVp4JS1mjVRH8rQC/sFJUPkRFnHpJ1m562vHWUHH3ykTMl9r5B1QstzEw2rLopK
0OPJaZgHZzH3rm3aXhodLd2eChtWSqhkBpNN9mGSSZaJ8GtkZ9kfVlxFpz5tQslZTWVXCnYGd2KZ
klm5lsxMvwptgsxCdTazaHmTt8adpXW7iOI4PPOzGpZy7hezuG9tYMkAS8OorHnRgUzy8ta/TeEQ
gdSwXG7rcfEMyPNcNX60KsxgFnmhWCBdhB8SXxWuTXQjQcLUCx1ZvjTMTiwKhvvZEAU2LG0/AQnD
+0VX99HM0yF1Qw6auxgiS1rK/KZ7f3BjNiz7KrpGWXme0ujCrLt0RltEFrSlyYyiwpvHTIfzAIpE
LBLPwy5DeX5KrM50o8KUYZAMjheGZEFoB6I+Am6DFFYtadtcJhlYIVaQgGlSgJRCpYcXbQY9NVVj
ngajYVFH2FoYURzIKO1aWfqV72RpwiSIqfowus5inY8xR/2/VNV5qbOYkBv1My3n5eVof7mPnqh+
aDkYUi/G4j4I7kY14Q6Rl94fKP4yHmqB42o2XO42nmz4oeVAWWTwGMFd9uONbnDtKuhGP7QcAkVB
oEEI69vgS4Z6um/RcvBogvxldYGSI8AbCXXBLAg8UCjtOjEZqoGCPVvX3VXWUjFrWi8oJOyFPHZi
3ja3lmH2Z1HXZPEMobj6UuWs+QhTtiulFln5+cXoPSvLL31RYyXJKTfg8YIylOD4YuAInxhMLOuL
WAR1c0XKDF/58ZCBQ4rnFojBpsqFbFpWf+FNYYRSpXZVOmWkYl96g+bMgbp22aOoKnQNbQS1S5IE
fxxMw8aL3jK9Ne4N3M1/zjHZNLm+jx+Dog9wOxDUxoUrCKZKYsgDwLavrmhn+r5rgTbxsYFADp1X
vIf9uOk7HIFs8Gw5cAuEaR8jukgb1WNXNXn1GHRaYyc0CtPVVZg3ILcD1EiuzNif+XkU3MS1OEu1
CLQLkQXxSQfleZy0ZjcDUQaGuAqadPHzXm3DAPVcEVThhwt9sUW/d/qF5st7w2+NItFXWeWJT7lv
YyJZTGBqFFnd3bSdEneFh5Pff/7ZTcPPRHC+GhR7Tkcv4fjbyNaLz5qo81mh/ewqswd8heOgvsq0
ckLbCz79/Eujffdy1o9fAtsCytbClRJgaEzmWZGxHrw3QX5lF4ityjZXycKr7J7IGHR1VNYgdinq
7dyJqNmmfzdpppYF9JKMZe8ZhVsdQTpMPg9BwBCMizS84mVsrtKoNldxMvJgDqmeWQr0hx4B9Is2
KVswOuKcr6tE6GUrenbRWVQhh7ZRHjsRz9KPVBWEuoHd9+vCaAoX3Gcpd0yRM3VqUmt4FvRgaoLL
fNcy3QYK6giC2ICaVASuhWYg014ChazazEzTMy5x7aWrUFXal9iIq4xJ2oP+d9YGYfzVt0VxAWZD
MLdy1oUOwQ3/VvFhyJ0+8LnD8qhZh4ryx8YsAn72c4iZuQUyZeALgZTH8b49WJ0Th5Kl7BCpoKKX
ETgcPWG7lQiGRVd1VMyrpq4d1ZXotkl7s5ZBEHBH4WyhiSoWCSuIEydl+qFIzLSTPGn9z22U5ste
V6C2mWXx0dKx7Xpl5jl1HkWgJFU0aqUX6eyqLQx9XRrg5/N9DPaaMXhZ6pAmSE9Nq0o+kMi/8fuM
dhJcXuVV5ZX3FUkN6loNgYEMewKygdXDIFFrRxdJYNpfPFSzs8Cy8cXgd41wWhSwFC5868OlYas+
lW1vDy5uTcMdou6h0GV1VyMDlPY2rfjc02W9ZB4h92WA23jhcQOHcghi7ytEBcAeCrPS+KNOeeoW
hSbLOM+KJS5F8hg2hQXrnqbxXSi80e9dMlCvPVU7PYzDAoPX/7ps027GWgUOV9zhZpaYHIMfFxTY
0mlI4M1STZVbF+I68AwfuRjn1SlsNaR1MgQak11xUGpTFJwTJYo7k1bmohaRQebaSoeVbeVqplEX
DfMmtv250XVoRXTSftN+UZjOQCpUy8wnjT/vqiiHxQFWUO83tT1XuRe4SUXT0wxelVCPSeUw0GnD
ZaSjyHC413LJc7MbJKsSz6GVkaULZcUzn9U9um0pZm6oFUpkBDOpmtOqFXrRUd5dWPEwJN5t3ZZV
Cm7fMOkz9Rh4ASHDF90aHQdrRSgQ5fkD6dOoogquxa3rAl1VcZXG3ZkIy2HRiLrylqkKw0JGJMnv
EDfoMuoprZ0aMPBkX4IhC3Cltu1mngf7YZXEbTmz4tZHjkoq7F0HJbJ4fhr3vA3cvktEdWHpisKM
ar0c69apYS+cW0YQedcNLB3Ld0q7sGHC0Vin8ywJlZBJCZuXN+ua0HIMD4rWmbL3UMacXHtp6gSi
bsEuSXiSzrQHWsHczPx0cOzBBImZkZjVDtj3RiIbUID1jQ6NNJ3lfmh/M+qGh8hFOakWIbNr+8o0
PN87yyivuBk5WafLoT/VcIZIBbPCDzgY1LoZyrlQOgvnfWKl/SnSOi0ck/RgL/EOrNWFCsvQcABW
8tko0gG7cOowTl34FxnXSYQMDUOeZZ+jNBXpkipRJbM4qKwPQ11ROo+MnODzoA00zyQPSFAtPNUU
2R1sxvQs8gcSz+sCOJjlVeIPMxt3g3DsqC/ay9TuYWobsFSU62FcnykIFSSu71G/dsFRCnCGXIN+
kg0RHdZJDAfZXRsYSF3ap0G5xChkp37IY8shcVyCDZGHHlhzXmxKo1WFuAHbO2IODctokGkRDcY5
8hI2x4Xng90VCF7McB8M+TIIcQvGvGBBK8f3JBahyGD6+LR0ujY0Bll1ofGHgptOekOGsI7IFR6y
cAil3TCD3vdJS+orqxB97mairC7NOoMtydc8BgKRUhgtLwxw9mXASRaclX2adHPdmkMIgQ6/umcR
MVdm56WetDFM3nmddZzOwL8TAvM1jlIXbMRYO3brzUIcll+StgXNIvKj5k6bVvu1UAE9bXjrezM7
NhGRme1BO2aSR908A1/S1QCBRHarKxPf48qAN1rLAE9ZhXsOhjdJo/BUdYS0y4z7mlyHBhefMlSO
kxPMUr3giQ70TdezynZQ2QI2QZsBY7kGoXsOO5j4RG0EszsFKalcKArT5ctKC4/cRKqO4w/EzsCv
0rGorS+rrhqVz6DvbszYsLpZ3qbw6TwfBnCKkbQaFijmY+dH1luQT8BXkeIrZmbQi7o0YaiCOI8H
R8QNLJ0i8ePwNlMclryqQSvw4RnIVFJlwXWJWa8ySYsAAdyt6urL1AgKLUNUl928g6JkdNY3JRmF
BiwmB3oEAqQTeNSTqyz95MGttWd2E4a2tAMzhnnR+9aqzSiw0amo/0CrDulzH9Tc6Dwvsji6s2G3
WOgM4atS+OUXODFilTJgQUjOctsX9bkX5H7j9oqXLSi4Pfh1CAyrg3jZP8RJbN50tUb5aYn6Jv7c
WqmvT1PPSL/1gxhlSFgmgQt2gE1nIekDPS+sFPyoyEvnaVv4JfgCQMz1qg0+hHmlz0UaR6ZrEkV8
EHvgwZVNQMQnFRmNP0tIBstkMDwqliwD3846BYHcn0FwHtZGO0rsWWQaMKJdM0C8tjLb8hyrmliO
J5KqgZ2WNghU7zL6Q4lG3Bs9qOlng6gUfqx01oNzF2PeLMOWQFNdioPBYa1v+csCYGkdIxbWfMib
prrsep7cRY0uJXiXTlnagUU+tBaAEyOsh0WRxHl+mVkduzAqxPJZUGZpc+73bRE4tqnT4B40Ef2I
RAZiBEQnuCPiQLdairaxS9gF+vIu8Usc/o7zgdqNHEAD6z8WFTUENKY9NQu4Eftnhle0XwMfGY2T
cG3Fy1AgfNtpw4MYaA2eqVk41DBJQ1JF9KaLk8G8Sq0CvApl0SDrkuGAdU4P2o2etUEBqLV2FvpS
DTwF2aF1MsMd7ZTbJMRWi8EuYfbHrPO523s90o5XaKv83Jo9vo8CBXMNdjrxCeZ6qm8ykWEQsKQQ
0dxOA/Byd/UXYtetjWUcN/yjSbKydVvTr9gleLvt5kPpaaFgc4cZPStCCmiC4dB3FyGt4vyCqyKg
N6RDibX0ulxAv7rO8C9jZRStm2oPZAZoY3V1mSQe8K9E7M91YMeB23YILfuSwbrvLYuH4GIP+FOQ
838sHvQyHPSf/+WeFPLSlfKUUzOe8X49aPRbCndyq91UP9wpcDsBgnLYxITCmnBJHOS+/JVMA3V9
CKTYjeU2KR6TN37k0sCl3JBHA0XcxvvVn9JsfnhTIO8SgzMeLEE4gm6N4aQfwbFnQ+hnuTQQmpoY
lpBNgwUCM5Zj8NCYY7LmS8soL8whNntPX6OE3se5viPaPE+Zvo27IpJtw4IzH4FKjtlp1PeRm8ax
N/caq3WqrvbAhVeAyOvb2oVN+gNiw+AEBceyZZUl9YBvK1SCKS6grYznAYQ7CrwUPgQliiC5Uxzc
vkOW2xLn3aVRohwiF1HhtENjOEZnei6oWtEsaQjk4VRteYWy9B4KWpqXvBmyi4gQcG5bpJS+p8HF
mPAF08IH9SBvHSsIIONBZfdBZlM3MdJCIqWXZWHOIe/Cn+kYdnLO0jXYe59AVzZkQszTnBp3xhBj
6ZX6chi3xcH0v4IvLJKlWfeOyiFYoZYRvsA+fWyClaJOJfzTPPd8t21qsH2HOoIRiRM3S7rYJYMu
ZkUfrdohL2RXqce6as9wVbRSIOiQarylVvZNb/BC9tnMGC7qCp91zP7DjKxljiImRW8iV3DzQvnq
Jky7TrLGBq9Xh69jS0EaCKpn2EYACeVaVr6vl3wMBYEG/IH4LbsVRvDQkexWZzZsgAlNnBAHeE7K
HIIevMFzaql6Vnh5NUtiFble3GJIfLIvILyz7OuQSVMFEEzLPnSxjiDOUeNZScFkt3XfS0uALWXB
Bjrzy6q58ytEHQ+Lz76RRzIPi0WJojMd83smhhU2/GyR9rGsUDWLmkC4OQliMNdUIAtWnLaoIY5V
lWdweYAG/MqFgIQZJ/Zwhm4KBllJtlfChyHVoojz64GphzCHnBcCqQMwwVciD3OpIj87C2L8uyqb
SwU2gGvYDJxaLV13bb1ueN/PddUVstS2dwpq+dcUlihEx0jgxKEVz8O2vjOJr89TG501/8XemS1X
bqPL+onQwREkLjfJNUprLc0q6YYhlSQCnMABAIen34mqtttDuyMccW5O7PaVHS6pNBDAj8wvk2X5
0q0M1r67pqHkOwj51/2ydDCVYgewT+4mssqnZBjHsypXLB/zwIv8vedRvIcfMyclae7z1ecYsvRz
70eHqlfFPg7lEQUIdSIX2mzjsT3QInwcuMOPRlnjq1zv8Tmn696EBnORlBtV0CH9MQObAZcZl9lf
3uwvqUNzmrl58DzKcoCTqXUyjm17HD0gHDOJooQvok/qsVbpOo/yW+HAoms5H25KGrJkgt0xt4u7
jXXzFMM6SQrFMXaUbjJ6EhaY37WbvC41RqAKvuuivMMIwySRJeXZ4OmDs8bOoY/5IXLzekfxtSQ9
9ZcE26KCBYO7ValWwEztPlD9viQwvyTQvRIWAeZI4mKlBSrFiDwnS8CjjBVjpgIXlxz8CwnCm7Jg
8OnMozuXV+Ggj9JfziwY7k1kdLKOzY4ToGFtk69JW7lnM+tHIUMwMwu/aQJ9WxXTU1zNp7FZQU9h
Eqsg0SaNLJ8gYxyD2dkv4/gAw9JJet06CYwNP2H1fF2N/SZyBrltlnhMvGE+5YN/W7VLvZkndxN5
3dHTuk2WUX8FYf4qCvcCregMaeumL6M+jc34nufhnOhq/VZzoGBBH8cbzPGvYxPhfF9yGI9e9yB5
cDWTTm5MjacGWuZSPfm6DPcioK2/A0LjbbjELTwUMvtxcv2/Puj/PzzCca7+9REOk1L9CMSAof83
Bzk+9teD3IWPgVp7IKwuUByrgf5KxXpgPOBI/vNIppAX/3WSuw4qHIF4oO8NivFvfBEkHcEbhnjz
889Tnv2dkxxy7J9OcqsLW9IEzaCQD/6g0bImWlmLjeJSGwEFKx166Rzr2Q2O7QrBLy1p87iUBQ69
mVzHLQTYMmxMMpU04y3McVeVD3Ohrqp4vjfOfL3kOPQ6TlmC4Ra3FLFC/FFPU7Oco8Y/hIImfp1L
ECbjpZvnI+00TeemP4gVfFIzjpBxsGLziM27wfe//LhQ6TT2beKIakkxCXuboSJAK+Jgq8syTgO4
/wkb+ctCsR7GOlg2TC1N5gzdQ0CxowWaeEAsitTvViddJpUERW/Soc2fa+ZmyqM4occxC8X0TnUF
i71vMryW9ztWoUjBU36juGjCSqRAWWLcOmHLQ075RotgF0cdnMvJB9IykMQfG5iaJsyMjPfj3DTZ
EhjQk2Z+X2T+3qj54kjeJyEsJuEwkTZBtauq+RBDJ9+68zTALCEyiYvuo3CCMJvd9lsHsCHxufGz
XKtPmnvreayWN9GF+ZUOBfTc0GsSXtANaWP3zhujIQugBgI1wW4lRzi601RduWFvXmJmBj/RYLO3
UKXTNYjEJsgjua0X30lriIObmHMnKdgqE+2142lx4jmrYORsYxzKWV4DBFYYMHFsVXxDBBTLxRH5
pnVGcSUcWe8ACKh7LzTrEwYynkkHt/xqrJ0Tjqtou05V9SIHbJ0iiug3MzbN3Ti4/Q2nnjjE8Oqv
e5b7mVlqecQtfNAJCYLyGnBGZ0Wo+VoPa+0la+Pk73MsSIxbE+kPrefcVpK5G86n7hEYTGB2Oay3
VwLO6CuIa71pmAchRS16U8VxujSYAMey04lZFZ6bAfLO6J3UsuKnPm36qbge2/4FShxLSa/PA2+n
fZ6reRs5BnuyL9k2CrlJQOGcA+Wpbd84MCoGtelddgX1skiqGnxICxIWSixrszWo3Ey6sciiZnG2
Uvu823jiPvJbCMyYIE4SBcxXlS7ME4MGeqCyhmYPmWBH4nZNRzJ8zV5O9pDIsjlexE8v4f/6Zm4b
uf7TZv4/NXz6jz/t4z8/7Df7eGCbk2PskT+hu9/u434Eq9rxcVH6/Y0M6QbE2dDxho0ebJK9rP1y
I0MTIN79DYMJb0ZAGYXn/Z19HPLLn/dxHAk2gAEJGO/H+sM+Hs9Fz3TM9aUUqjvGNQtOQztfxW3d
p6Eenig2o74E39fKqF4/uRx7ACKYw5d+FSnk3vqW8a5NVLXcqiI4yrGR274eReKuYN+iyiU7URvQ
Sx1Y/8rwA8wAJy06DGyQawrQaaZvt03U1fp+KboXxheZENy6kgiKLIY1bwyOZibrMezaGSfNYh9g
XVfZYh9phWe7YHjIhX3cF1fiwXcrdqjtYujssvDsAol/LpX77sfaie0y6uyCMgNxssguMmmXW20X
HgAgyDdYi9WPRVm4aWiXaYj1GtuFa+wSNjW4Q6QIIPHaBT5M49m1S15h7Q/YAxbsBdxZMg97A4iw
q8luFspuGwLSVAKyP530qDet3VyKnKgN/rLiK58kfV3W0uTb3hL+8KhgH/DR3bNB3/HKv49/JAM6
yom6FW7b7+EypS2wpH0fLmN7T5XDhoTrPDKJH+XBzncnUyZhHn5VuZ4OtgNtp9uqytamvVnK8UyD
7tjW/Nw73lWsyFaO05E0NJMrpB97gJa4iIjuA9DSnVDs5b+ToOMgIOVA/PjrSfB/6k60n/9mBsRH
/bJ3oEwKrxP2kZmz/a7YI34zA/7QeUL885OA+d0MCGgYRSahHyIDTSNMbr/sHTHeYQpgN0IDGUNT
KIa2v6HmoATjj3tHjDETIAJsVXydrn1rx2/VnGKIprL04/pC3P6lEAoSN/hCdwkPtdu0SUlx9OCm
H4VN4hgc4X5xzZb+PMUNbIEJs1sj+ibRBUmHSHvbInS2jvTvJ2G8TRxJnZpiuXZUnlECNUO46knE
XpfWbn3Nw75ODRn2dTW+NdSiXG7wkXtiTDvSFGkRzldzbD4q7eJCVGEhYhfe0MWEibu068bRpM6A
uM/AG7VKI82QcVgcmirZLttWLjfeEoaZV9RXeg598LDqmw9vPIPM/SEdesRo3GX93HZJYUawnYWf
hBwoQRuxm5W5zyZfC6xyy2RyMiV1pPCftBTpWnSAZZsiT6L84Bdqu0TIQvUQmpGmmZ9WXpxU1F51
eXfF8T3htg4gsPG8u0lUmSmKZlO13il3vYd8qRX2Id1AE/EBxowG3ntFwE4G/r7xF5HmcfcchwNJ
qbMUugCR2YviXnll9wp352lZg+lK2YHaV+OudidYuP3wOheQ8Ntq13RIHAU6lEkwYU/Wfu4BMI1P
vPCe/B7XSi2mC8H7XDZVpdfMC9diszK4J8XAyI5IfecT/hFiat/BSUpd+ENXkr6p+Q0m2jbo6Nu4
+HKnB7B9Gora0E2NfGIub+/BlnbVpyjWj2nmd6sP9SbSncQleuBx/Da45TnH831wVOvsZ+XJizfk
7BI0+XhcWJ4GDDvrFNG9GhYoSNwRKQ/YcvbLFcK1kM20gwf/DBowi0TDT/4sP6HLe3tHFqxPBgp2
PfnvPvdjnwv/4z73M0P7533OftQv+xxejA62zoMc/GvM89e7rv8Px+5/lufzIj8AX/YLA4ikQ4i3
scYoTwXEgjeB/WufYyhVRY8LcC+wcvDq47+zz+GG9sd9DhgSMnr4u5gXQwX/wz7X1sgI1PgyLobx
asxK33/EXrUv25ZgECk2rgpwQhKzJLnRh3la3EQ2Ht24hh1VCPe68313W5TLQ0xkv9NlUyetK6DE
0WZT6u574c0uFCml53xHqdQk84l+GuM1uAMWMe3oQPNrHiz0UM5RRnvPT7vIDCcgVDoJCw/SWeS+
KyQLHNz19t3UngevdEUKNLhCEEDfLe58G5mS3vZdU6dFNSFKV7ca6Dhtkpq1Q1JoBkmYdSxBTmoT
z9W2LDTZu2WUb0pLlMdafLitN+tsNMhIqrY0e2qDAEW35ony4fVWeetecq+UsKmAJirO2n3k1m7S
4a9fLc88RA7IZss4r5Z2Hnx4dQwAdA0QugQQPQOMVkPT49N7b8oy09TS01Jh4zZ5eSfDMa2ovDLE
CbBM/TIVTb/sVg5cZwCQHeseCY0fjHZMHjtA2+BL9vCE40PYrzfDVC0ZsK1nv4++SwDfvSW/ByDg
0E5uQpU/FAYmwYQLtQEsPgAadwCPh5hUMcmBJ0cuIII5Kb+VU32kQM5ny54vgNBnS6NrxbaYdl/D
ln12lld34QUDCwfD3lL8WABWd7iTA3IXAlhNhV3/1QMBH4OErywSjx3QgsugF4kF5huLzq/j+EzN
+BLTOZWBJzdVITROJMGhZPZP0iL4jYXx55gWGTigB4lffV17xk+FwdbZrq5JaU1kCmTnphtrnMc4
ujfDqr+Ds/9mePXRFG2wzX33o8urcstnro4t9vucANUs2shs6ezn6dpjn67wuO6044jEyYMGMoXb
h1kX+AeiGdsVMQR0P5ZYCDL+WqD3BNX47ncTUB+gRBu3HKtMU6Rq2o7iq12aFGu/S+Gn11uBDADl
OYPJzFjaC6wRuJTAZSRfwZD0qQ9UCSyX2RWGMjB988U3+d4L2xs+txdaxQdCBAzTA64t+XRi+Jxj
oO67flIpXaKbqqHPEWsuVdvXUKHLJcvLeVe5LnAH8Tm26ltUcyeTsxqgNXdsM0ZsSCVTDMN7u5VV
d/I8QO+keRwLDWG9uFZN1+xdb0zh0N94tdkHeqqSaGJ42uf50tTeegQz8cJHcQ4prkrUmaJD2UfX
HmvOuHXtauJDswZikcqqWhNKlcgK7sYpKVxx0KW49rS4dpvupXZBFsfTqBMo3o9BFD7rYbx4TRXs
AEqwbAbPnoYcCtDQqgXiDmInRKtdEWAeQ25wTsnS3E00f15zfH19p+F6CMD+Ch9XAFiBDl9nXVkd
8nX47IFhbLwVOa2e4WgsJOy2hVYJw481NYo/e7l/qyZQ9r7QC8IQY5BVZqD7qne+QlygAiGuBdDB
ZK4bH491nyGl8rJS/yHP8XsfchkBvYAZVpXuXRizFzdHPLjw21uPAMd31/iLMr1TK1mSHrDLBqmD
24HrXd56D4aPJ8eQIom6+AjMt4f419zWfZvNkSBHPtWPIlRt5iiohUu8MQWSS2r2wrTs6zql7VRt
6mCW2erw09pOBHckOWdkqL+KNX/oO4x0i+shwiN4t5t5+TF04aWQ8AiceFozG49LW8DrSHuQda/i
bhtNkc09r7fAe6YNMapLK1bcz77YaI/sGWY6xhqD2Wc4goXnOAU4MLO+QX5kojqtqYRf2CzfkDyz
se63fpzFbva4BhRkzlQ3jxDIrld4m0gXQYIzwRbu0way4ZXohn055mq/4iGCp0lFAl93t0Tu99Xt
TmGBPXtmmIFLDqFp+FSlAKHTv61zsYkEVue4YAT23RcZt7Dk4iqZwSHllbOPFBIvGFQDOx852I98
nBSRqOMsrNoalEz00GlxWoPws1LYKIVPraUQAVZbYCus4uT605DMI7sMbC12XjA91Xhuk7gOYF5O
AwcESRIstNshNAaC6Sp3GFjfcHYOGyk4pDyIAhtM8PQSxyTeEZQw74Zx+CYq9z5EqCmViOa4kXpB
lANsEPaFZFR4NOqog7k6u9vVi9/9PIY2zAb4j/J9KHsJfkp+jDmy66x0TYYc3XoG1RNmedff4Mw7
TQH+H4iTK8XA7iozQAomcsMa/ZHTChZv1H/4vL2UJQPHAT8oVSY/uR2FeFwsfMskM1kxK4S4Sl3b
VdZjJg/PPHKwynBBTCCEQs8r9gsu+5sI+ySBFj2R9n6RK98JUr5WUfc9nKLU502zQzHBDnMEfge5
uXfDzk1700fHlUSHTsGBxiZeAWMJIliu65JS4o4XtgZZsTRflVPJNG6myxwhzD+S4trxRZMy1X3F
pC02EKReJrREbEjfhPhM9K3iYZh0BfkG4ju/HeL2hN0csNcpMHzHRRCStNY8xhResf4s61pymgzC
KXDVEb3BLctlPf8ZzP+/LjaiUAVj51/rBbZQ5Sjfei3aPw/T9kN/HaZRMg68AlMzqvB+BoB/Habh
KcUUOQxkCACCOL8TDVCs5WPCdlyQ9zCd/jVM21eP4G7/45NBPPibqWFLlf82WmBrWZidpx1EKCg8
rN9rBjjqQRSA1LssxFC3Szxc0LGZtXF5oBpLCdbjSfCIn2k47PKVhrf9UrFkLZw7Pw/uqkF/SgcU
yDzzQ2nMFY/crfH1dYXNmJj1WLcu7CY3W71IpSaAgdL510691Imvm7MXxNu8iK5HDplrIbfYDB+j
pX0OZ5XC6f/EZQPTYAwTtz1UWmacYBOhHP5TDGxjAcIWOLegLc56gXbInPMc4dLNKFDneN2Fg5tO
ongMe5HAUwFKMkzvcLFOOSY0NfivflHvjLKTFd0qn12ZoD/nnJ+ZRPZyDdKCd2ftwbWR/WmYvWe8
HnnPXffMoLcS8Acl7r12hRrNsn5cMyRhXpgYbxDnORXTkuIc2AWT3vg1xQUAWT/2NQ7M2+AOoVOu
NVi9+M3y3IIGz2VpDmRkmQnHO16siMGBt+kwfnTD/TIC5stncSnCaI+kU+aW9BHU3X5dxjski95x
DzjDWzjzvL82tNmHqz42w7IHMAcHvfuKyu6MK9UGYwZEjuAu4gBOkKHeQ9tAqrGeTpWOQOEu/RUa
Vt58GdyxjqYc4qil/i+aqOvCa7IVWsSwtukYkbuSzUCC86egWR4Le5K1wk16LnBIIXbJc6dPo6Y/
ibietnTq59t60XkmBX2DwDvsun7exV2o02Lunj0Pudlmmt/b8IfaOxROvxkXNq2gquOh3Jes5Qcl
h6G8ADOaRVL+8MTBQYgtcyf89ufxEBLp7CTiMAmJu7tKQkFv6WDSsa+gf9euf5rD1cCTgrdZz0BF
GCDXLPfX8g5v4dtVnoNuF6AZZeuOFqaFSY99G6A4wCa31UDwO3AuKnbKVEdTsAdSjhgUXe5FsPQ2
rzEnOXDuLVjtLkVQDTZVMT7Gg3I2FdVLUtberYiXDpmHrynEycKI90C8/LsEpBQvwWX1wm0wVOd+
rKasQhY7qPNPsQYnRCmfyYSPOw1amQ3+LGLWHUxOcPEb0chbTzZPk8ag2plRJXlI3XTlQYVYZvBe
AD4E/tQuCXIWuC4G7IxMOQa1ufxgRM/oBtJNagzvs8qLP4uOvbaL9xiG9BNfP2RyCSxyWfw687sF
CHLjd1nYlkB2KgwxpnP3XT1kfiwuyIwccaQ9BfPypSPnWLL4GEgutjPRG5RRPInVw3Fd9+cln/pt
YxDf9jShJ1nn921nT0xWjRvPuqQ68HHzg3E6lSt+yn3zQWQsE8e6q5H1WUsYrjmpd6V1YNlq0CiA
obOGOSuc6B150vc5gGs7WP8WYba9bx3diNf7wnq8Xu9t4w6kde97uxw2sLJ+MLaptB/DgygwiWtY
xkvh45OT4LuwbjJFPAbph3eih2y0fvOcOxlCNc++daIXhund004aWJPautWBgu+5wsDmkw8nGwzd
Zrbu9pzn33zrd+ddHuH58re99cIZm7BErT8uJZblMMUjvjz/qwEWszPWT9ch7neVmHAxhdUuVoqv
zRw7aIZzg0v8AsUzhj0/cefMlQFL7hyV9e9rwlgiCMQ3DXO/4s79BLM/bPkDUHQngRKRtUNpkjiY
YHICERAaSGu7VACSAgR7my7KMLzBE+K8arewV+AUEQnTyFj7iIDlOgQKyWBrLbVOTHaOtZuWthNJ
ay2oWXugwJbbrhnB9FibCuHBf9Y4/XcWsbjHX88iicYLSP88hdgP+nUKAWwKixJBTsujePS3HCrC
uxb/RJl65CM9CVfhX5IeEFTgJOwnbGrJll+sC/sS4TBC2DcMfUw3LPg7kt6Peeb3Y4iNUlJMG5h5
ggDzyO/HENPNI6I53EfpWuAAUTMH9Gn0OOZ8H7JSv5W+B3FMLc+RB1twLILvkKquFQipLLT0fTnD
WVMDbgaTRNOD055I6QxJvHY6m0dzngc6ZgEbJFaWfl9Y+8JFsUEk5K4Kyl27qKPne3d9B1K17Bdw
KLA5MXl4122DcEtBosexYjKtWYML3ZQ/gql5DhH6ATWISzydm0tY+Bd3ohvWy2NU94cqXP3DavIh
1dhUU8PnHQLCGy/uvmC93umpCI9tke/Q0vMeiwXky/o0Y6Ukldd4iY+ATUKhEmDLzVNnhvkSdfxp
cvVrNZsg5RXfe1q22NEj2BHcH3AdUm0qOv9cNf2xrgLoMsPw1RuOogEiwf3V8UU0A/jaor+UoemO
c6MAswuwq1GDCquKD0XKnCI/j1Q6GcDJFZUVwfoVozjjbILo+yrww+3QaXHrAZVP+Dh8ctibp1LW
hxBnWZJ7HcrL2jG+jALdAVGE1P6gOaRBm+SvbKYfcCbHfoOcP3AaDHM2+x/MUXHrFL67W20zQF9A
Z2psW4BvewOEbRBwlrrc+7ZVgNh+gdI2DfgrApy2eyC0LQSN7SNw5wXuhe0oCGxbAXazejM0ytsp
6TebFqUGsGivVpQcVK17ULb1QDTxF1rVaFLaRgRiuxEW25Lg2r4EMBxoTrAdCr1tU0DWgu2UbVgo
bdcCs60LTYH+BQcBoTs4HPFO23YGvJGmxN0cjQ3GdjeMvk9ua9vn0Kz4Tnvb8SCoQ7ex7X0obQPE
YrsgCGJHyBGgHyIE+LmDkPyweOON1k674SReoLt277IGXCU4RdTNdk50DM5P4dqo9mp/RMJrX6cx
LB9bZKyS0Uq+ixV/vbmAkmkFYczOOMStSCzwc0/8geh9PMGH4ROG1SyCrlxZgdmxUrMpGrJ3VLnV
Yb3J8xasKNIWSWMlaij9DU6MEnpACQF7sFI2taL2Cnm5hMpNp6ZCn41VvmuvPiOlqfYI8nwplH0p
1/Ct6lwNubseTgKhjNSfaVYPPT3QZcqvKYnMDtWDwZ0H9V0wqQjEI6vJ8x/6vIBSP+GrilZSIdZU
4hKNYpgdEcuDSyZ3O4OlSh1o/q0V/ydrAzD4AfC2MAgh14tQImYnaxrgFrEXcBEMINUUJ9tD05fH
qGxvpmhMCYlOY/iaR96VltR8w3Xjc6Lqeg4IQUkJ4vLxpKdrjUTenjGFhpsBLmNROdce/jYOtcKY
4KtHgC111/rkTFDcDYue1hgahijXGE5h8zFGCCUjs3iQ5XKLnodrIGEIzNpBqG1iuauEi5CW4WDJ
FomJDdQVOgWaQzvCgY1GP9wuC36Fbt9gVi/u6zl/daR+6QJsD5BzTRZVw5WY3Le5ohT4u4+86yiL
ratdIEvo/6sCW58yAhBcXVgQozmN8fSscXHMIhLcsDlCgVATtQdAjfiTysEoUdUm7ZS8QnPQHlmX
Fhe8fFs6sr8IoHsYd0snITPL1Dx8jlBoktCIDHFT+gL0oQk3sp1Prae+yyA6tDr8hogLRq/GTcph
fUcwF/FTOe/xTddb7mFaatw1q2l05iV2GSYxxA2ofUKREARpd096ul8m1D55AiFmMd2iZvS69kbw
6KJ+VzHbR61/dotuR4J+VyB2it8p6tRc/Hf4xmMh0lHor1FEN8ixK6h4y0E1Ad+ggAoXzeoWUUGC
swC6oL9ccVXfNoxkruAPNboPOIW3ous20414qIVKkdNCc0w+RkmzrPscUWhRp7EzQgpjXgq84DPX
GMlxjpFlN6LAJQbdDyG3oO2dI4Zh82Mk+O9sZDtA/no2uv/nK/v+PB7Zj/vNeIShA2Av9BiEdSyn
+6tIgzdCIiODalBgHAA1fjMeYXCCo4mqlH8VovxzPELtm+1BYTELAgfyz9/L6bg/sv+/U2kCtGSB
OXFQyIwXJvyR7HBzoEnVQOXNPDjRtjXBBH4rQDwlmPY8wh3DLJB2NfaWC74J5wqRUMjiFFHdQx07
8puAEX9CfQuePd/v70tNg32IqON5qvLuo1N5g6ipEde8jhZ0VeE0STtGJh8rjsw3I07QS480+Qtx
qNq6OeJOKU7bOkPhSXuucGH8iAm/Q4obgrzrkqNX8AnROto8oqUifKlNNNxPXogM6sgRf9CtRG5I
E0QYwkWCcXdUwv3R+5Shrr+FcEL3RQgpBKjo+GZ85gDdigVOXzbtonIarjQ33e1UtptaC7UtRNFl
ZnIDc+GkDcx3iT08uHLbfF3mrZKV3rkwc8lnULCSnznKy3oUyY7tcIksKxcV7szveckIvByNDOSq
/DWazjF2Fpo4RcDnAKVaU4zMdW26iWRIh9TiipIWRojQ9fJeGq9vUHPEtqzP5xc61f4bQj1gNchM
222B4/q4aCgFmE/XN+SuUYkHx8BBzRjKjhAZYLu8M8U7niSROu26vuUjXz+pmL8NpN+2hTiSSI5Z
41KTTuHQ7ZEPLFwklzWGlCUmVyiwXa4rOeNqrlg1J3MjkWsXUyG2Y6Ngc/YGIaiu6p8BC9cHENOP
ftXzfUd6GFPOZJIQQgUq7UaKGG3XHBRR7LFzenqeWe9kjSeZk3gqlA/56KAwCSGFdxJN5AgPMEo6
jMBl7JJsUAZ3VULGeYM6kF5lcy6gPxE5HpYub+8QnoVQ46z0tVjdKFtZVD7O8DivozIoTyPpS7hO
kYRjEi3XY7XKl1XP5AoPL+7UUTtdymLIv8VrMz225VBvcEKIeyLm7oabGukYUJwIXwWBGRGBCaDN
oaNPbcY5HLMCimGUFpCY9p7xPhkF9Fv7x2ie/NsF/RvopJLU/exkt257AS2IdSNNcH8O/8ue/AxM
Wvn4P+zFP164kbwN73gLyb/ZkH+DoAC1A18SWMKEQR//A2oH5AM3UttI8wOa++W+6of/sFs4Nkpc
dCGdB5Dhf7mv+v8IqIe3QPo+NG7son/rvvrnFqUQCQxI8JHnAyT2/1DV4nPMl4gmBGfevK7jeZ5/
Mph/2VgT/KGK1/Y0ITXqQ/lH9Q4LUT/y+/uwzuGSIzKkz2jB2EAc/UIN9bkGcBEO6gv57mwoB5E1
AXJbLmkPwAL3iIFjUum6hBIqkVLzd2007MnoPJSab4Ox+yA1qAzPjpbDnI6qAh/I64tr3LC69o3q
/QsyzhKZZmGQKgTUEnJYoVtfLiviHE54mPmYQ7h0Tr6P8HO2KBFlQSDqj96z4QAULWyC0YNk78Ck
KpG6zFgVfNd8brbKjQroYiiDctFHiCMmvkRdRDZ1PHxjQ+Fv0N9jM4DBdFMiVoULsMRJM0ACRIvA
lRnEKxyFa+RsMji2y/VUmH5ft3LftmrNBlTS5GG98+Ft4nID/3xtX4kzAS4M5q+mIheF/FyC6Ne6
1UGcFZ26j+BsE6c7+D17rRyCuhV9VJ0jQVkvt3MVH8t1Ruv5irJIVR37KHrLXTMlSKTuC4x9uhJv
ChFLJCjBUofxvi7KC0FXUAiGjefeC4o0jkxH+6YPr4MWRMbgmVPtrxltfKB1/Z4uPeSDgD2VYoWo
UNU38N8rxGYhYgjnBeqxrQQsjwEJHlTtVgmUD+i9a3Av/FamfJwxmcbisNSwN8IS1mBe0h2wiREc
U/WqA7aZnAH9kAUOmFaZLTTT47wOKQvMcyD9dOLhmY70ZVTrpRLBHW9Q846GpF0UmBOfhoNEg2kx
l8/cQPVt2LSvzXTNvfqeurIBf1E/I1nyhN36meZ6Kwd6RLEK2m6GVxqoDnIN2xF/fJH45v+XvfNY
juPouu2r3BcoRXkzLde+4QkzqQBJsLz39fR3FSV+AiAJCMU/FacMoBvdWZl5ztl7bXAy00aACJtm
hjcbaIICzVXS6ViNiWmD/ahsdS74pSYViGoEdqgbTzwFfhInj2EQJPbUUoQKfc+yqX/MZbI1u8RT
leoJveKjIIg3rYGOOwXrOkyWI2rZ1yUNrlJKBryP4TGFvLbh7g+JVjBuI6AotM8jh6sDesQcWKOE
u16oInrrCw5jc2qLfRzriytUjKI1/Sax1Ice3JcvADqwkUPy9CTjjSglB6GvTPrJlB5aPTW2IGnX
kymETj/32WEIRUb3utJ6VlYNtqxishlb/RziV/JiTf8i6mbocmswvwJ7GbwIBRT1DDNrnm/8wa2T
zwJTmCQeYtpYsX6sKx1DMB+FraQVXAkB7XjCrNfFN9kwrRFEr1tUiNpdkF6Xpo4BM+/FQ0XHwIxm
2e7q5tDRJcdw21J2MauRFERWkly3WyTMiYec6ahL4WC3aVVwddI2ARQZb5lkye7VrPLKbvUO53F2
YaAMZcIttFeYtkMuhQzHl/lLEyjPRooWXpFOSSQx1ZYEwZ0z4RgwZFlHMZqd6tpECV7mN9z6BB5V
xuD3fVpcjwNVHT3MCxXtKjuL0ySqSxMSl3lVHIzaYENEiCsZa4VHHVsxymKP2od1sEWhhq8Yl8LS
HYHrbiItOomZeJ8yBeKauR/BHG+KKX1Sk0CDroknzQx0gDBcjQM1Nr5yu5OdBV0VPAUwUbeplI/+
ECsbxShjOk616UTmktKlj5vTYqZnRa62qdVeSbXeOmtrZsoxgy6j5rLl7WSu7l6IwXqXzcOdLlS3
uZw7SIT7zEWLHXnY2HKLPaffj6JePhVqJ7D/Cj/qFtnT3OPv5uVUeiu6elEqWTM7c2oM2yGJhk3B
5G3D1h/dBzWvIPfZbZErsStxeu77uQG+moTnwtLgrmJ8gbcqR7ZaGrdaDa3NVhMV1ovcQjpVg8Cn
MXOrB2giC215AAFGz6YvW1/ruWYaI/dobpmbShyKTTnXtEL5QZvmXf/QID3xVxvT4mQIVziVom6r
Mhqz07HyFTMHUJGXj/pQ7YqRUZAxe31bXoizsU/r+U6MEm+IUSuWVXTXZ/ItmkHrACJj2JVC0rhl
kOEX7KGVVaL4iFhQcZVJrR96vZLcqoTljMYkvTZoB2EAUR7kyepuKFEmzMyC5SS9OP9eSv/j8Uyh
+KpZba5GIDh8XDVw3ePQWdvir3X2cp4jnA2TAipW4uK122n6eDU2rf/qcnT5e3n3Gi+5uor+5nVU
zdAMBKl/vQQAn8vTMCrOeZadWl2+Y1e6NPP8ie2yQXW3KqPnbDtMlZ+Z6baVo2MESdmUiwM71VEL
Wjux0qsooBNXi56CbKm3CJ0Ig5ey5/I78wioi3nWxZDr2v/udX/z1v/2nRO8zlxB1RT0wm8/IS3v
S5wpKWw5rAXhfCsmwLjKTyIhrLd+B74HRhYq5MVVBYHCaA2Dff09UBJXc56C3wS/1eJRUncKiSGo
IGvOjWHQvEAYHgBDlleFxRq0xN1ojquCv2KjUsSrJcn9SABqTEiKdVNwKvXlcBZEKeMpGTnKZfg8
sNHPsRDvp4DR2yjz3Og5wvzZ0pZrTcqe0y5zpCyMN8uI4q2VdC/K4tRLO+Wb0Mi+Rp+YflGtY2u3
JKesYURHTWpzFHG1ifRdvcgv4KSfJxxWvYaIczKy07zgFjIAW25FaUxOIvWYvUx9xL2JEW9kJQZ9
p/BL0Ev5bT1qnB9SeNRy6BatXlHEYXYaSo44qUIzBx3Vq0T5An8yWjz0Zez32TEQn3uct5qxY198
NAVEqMYobWeq/GxFmhUVUteKFpaCI2tRuXpg9kpdI0SGMQn5tulQJeXStCfy5DnFc/xtzrSNqDMl
RbJ5kkukWkpb+7HSMraUp+tc17OzRYNbQvd4qI32k0AOuivvnxfWw9qhYTmsqpZ1kvV6PQQKbDP+
rzsbkvysWC1j32rIzrqACIL99Cls16q7jRxJn1wzzpCUKjRkjRWHHaXGFuTDqYM8Ni7ySSvNB0Ut
IopnrfbpwKs7Ahh6O4zT3B7MwfTEUsUlzKHujsDBXGbK3EfYiEREwnh265swjydHitqS04BpcodK
pqhqH0LgtwbfBZ0lzRkkJJdNLt/p8szdeYaG30kuMnHyTDTa2s2oP4Cx342B/F03yK6oRrYBK9vq
xXQbWFTNiOBqTDq6NrNC4FrP8g2ivVOaRDd1rF3nhrXR5+7BTFOGJUUpenrdcxesB6/tERjAbops
JaGzjlnHBdr+LLAm6P4oj5IiPEjRULs12F3oTKI/LAImu6n0JLXZiGKyw3LuydhAOI2QFTMINs3x
YMAQGSXqbymrnD7rbpWxOlvmtGvL+Rmc9LdaIVrY0D1t5n32BRrV9KKMpqNR6P5Yqm5k4DOMC8OR
rfgqrYR0ByzSg3nm6VmAJuYn9yWkLuFhHATrCgfjj9gQcPDMzN77xO+6PnX0FlQXpnNJ0iELKptY
AZ5uShh21HBxQNRUdtpHR0EKvFQa78uyo7cbX6LWtcOo9OVUOOSc4tEIqkPKHoeq9WvYeLC6VICQ
nJpZMPodx3vR5JXb07hws1TYMAk5LAmCYwsQ1iiFo9OKbLqLLPkJSiZtNC/pBW/DoqP3Ux8LU+PW
i+b2IqvWRJ7M2KvheKjkpIY2Ag9TqcgjGhknRSD8hJYqIdPBvIIp7I0Cy/qlrnlGOnKPOeeTr89+
iS7FGO4rkW5WLp7QbTUe09FjEo0tmv0At7k8GE6rIbI2wNBvxmFxK+4NW7AeLSwpY9sM3EKMsgMl
SnABM0zpk6PtkydVeac6kyNrhpSfwu/j3B/aU16AKRkIHBgv0uYkUbF8fB69dYz8flK82hneu2rl
KCqoLtgZyvJFAuA6XQ/WsQgf0PB8/EIrH/vtmc0epOMIlplnYxfW1pPxFRR4bLuhTjCWnxdpDgF+
TejQA/lWa0MoeKXAmpuGA1JTeDOSKJ3MmuYSTgSBYgLq/8jvdVpJ+EHH+WoqFBNza/8FUepFKRo3
Gdc3qh6na+WbKWwnt+hCP+/ipyJR74Uoq67DPh08LYIKmWv9QWP8wsXCmyXoQFzxNgWIoHvQ0DfV
krl0Uva90u0gMRyWcN5p4E7xhR0ajm1IbIdULniYBLS+pjNV0n1eNV6cBbuxYj6TTYyttPx5EWfN
ATf7WE9Wcy+HQecxcAk/+VTf9lt+//pef6jv1AGprhZxg1r4bE5P0fJ1Nj+D737ypb07OEQh444c
pvM5Nm+qxLJr5e6TZfHxC7wHhePgQe0rh/NZky9jFQl054nR7Hz8Iuun8OeQ4NenhMWUKynmUP3d
0puMFiyoyl/BeImhWjfm3EnumPF+8m3Ib9f42pxC82GgDKH5xdVUevdCcxJD7V8q+cw15huHmnub
+YEreGB5nXu7sO93ujMcv15j8vsyec+ZN3/liW63yu7jP1h+K179y2P9842+etisIcYfFbKN4Lt0
RYfUjJt+k18h9PYsJ2t8acPn7EtOYyNW8Cy0cZ56Lr59/C60v3sXr1fnuvm8ehdZ0Gam3PC5P0w7
2TPszrcuDfuiRQPpbu4156i7+cY6YwrbFjfa9jZww820Zd+zl01p2a1L68y1XOHYbwE6X0Q2MsLQ
/YLD8wzmZKPtrF15wNJ+l/s3H7915bMH690NWpDbOINOz7q0S7vy25fKr24lt3aggLmRG3uQAPbl
5vLb0et3mkPBnuxRwO2TM7kMTgDQ1/4eOF8+flfvqHS/FvL/9lD93ekQowxrDJ13Fe0sO3KWLUL7
W5BMKeIdm3QMu3FQpW7Mc72Vn2ikeR+//rp8P3qO3u02bDXC3FbzdBaX0jPG8YC+4Dz04Ok+fp11
V/nodd7tOmZsKsOwZAB1QgZ44zdx2o7611nxasZhQuV//Gp//1X/b3d431EWcjZ/rU56zA4pld91
FV79317gXc0HUifT9ZwCKtUOckIf0DLcj1/hky/m55T01YMGxM8sYOvN57I6t3nqV/LD0puffCuf
fU7vNrdWytpkMJLuPK3fypKR1pQ4/7e/490C68mu6RFFzudxmJxYP0PWdpb88uMX+WR1Ge92JT0I
hZnmHKfBpOO/Lrw06xgOoyObWycZ5fMQxp98dH/7/Wg/3Q6Mqq11/PJ6IzShqwRV3PVnNf/RJH4K
8S7VNx//WX/79bx6jXcPTRZajAghvJ410IiCeJXnn3QVPnuBd1vigkhNScp6OIts2jSjUyX75GP6
eT5+9OCvB8qrdYwuy5SDjHVMbWDXTrgftumJEoHgSifywguELoePP7VVpfDhXrP+1a9eUqL/J3Vy
xBn1QGO4YFc9hby2PT5D6N8N9uXiVPyHrXm5w1T5SrCvoUFyql8+1pfKnqqdSB5v7uxt4USbz97e
3x7kOo7tX1eX9ysnblBFBTx00sV6kAs2+AN1V0iOnW5U976w96I9H36IX1cp4d18QP/8ye4Fp+fj
T+jd9z4IrR7V1sxdwh3cxcXTJeu2dcjca+usH5VN7z7KfmAXdGx9zAsb3KCf7NCfvQXj3bknTL2g
FmPVnYUDjm2XzmbyXfMl1zj0L9O28vKjsQHk8CN8VBxMshehm7x8sk7Wl/hgaRrv1kk6KNBfC5Zm
409+bUt2vN7qdqlzO+ym3Q61v72cu9y+B3vl5n61MS5ReLq9B0fIjp6yT3bKn4XZX97Pn4/7Sil4
vW5NwWI2VLCl1J660Td65k7+4i9HIF/2t3BHHpVj7qotTb3j5Bh3HrG6fEXdJvVvYne9JPxxOfhP
RiXyVf+vxbsGdr7JDyeao29pAv8ZG/UHIZmfeiWiov8mSrAj/qA8/Cmikn8zTE1cG3MaE/115f9C
JFq/McPnv7DT0LV7g0g0yRRHkW4g8PkJQv53iETj7RNO2WIYIkGcqLF4CybY5bdrCftsCPY+UC/S
pTLm3aKXufJ1iJQuuACpruQ5mnFB3prBKvfro5tZDVUOMLVyidFmaBVg4UXSkno00VW31XJxK45M
AMxJQeQ9lM/SvDD00+Jnxkc8vgoRSE2rH7I8hGgfJOTqWV+qtUTGBIFxwoRlbs4L0lMLcTpknADn
WgqTUcgZAzYYvyO9O/QFCAjJiO8HSb9i8sszkOOAp/gflk1cA/kZxJy7cVJeLSBOyW7ctWqLZSMr
iWnAdOtY0NURpS7PVkKoJ5OAbY8g1rYy+VIWu+zUq0vpE2BQuJxKJdkh9Q8lCJ/7BBBPLhheN7+M
2LRdPLHeIBDYmeXFaZLV+6oIoeCatK3YM7CP0+dz0ooxvlJCvVlMnPrSMB2Yyiee3CwvvRn4dNhX
BcBGMia/rcpNy2C0IeIEkfDANLBKnWZQXjpK2HQE5bpKjhblWKCgXHDdAicKgGmtVkJUluYqt8yy
asuUxJvK5DZjMN91xVXViIcInSbEdOajWn418JX2q5RTnOKm2HSCZPqmXu0lYvpoCENENoIjUuEj
KRh0PZBJM8tW5OZKmpCRP6EzCmWvVcqwuBKWbq42yOtmNBKp+AAcDGmBPqTfUHOgOSbGM5b7b4As
fUMmg3E0+e+4H18QkHPxAuNo58O07eborBaB6QnjNPt1F/0YBZrtiTk/YhS97ZbpCmHGE1lJe7Fc
HmNkTI6utYpnhOr3WJ4YF4bzUxbVJKN3FelESgFotkHFJYLX1ZorIgK2RmNSVRr17RzzZ+HegZUd
mhfB1IKKixZwtZrbRx263FS3vE6fxe1i/JCSUiXwovsydKQd5BUhqBS4yPwsZaMxCWkg8dMQQtEA
ThITUPQtTGtmf/28+OYIwDuZMZUL7WM8ltuSx8YpzGKySR9Bdt0uUIyhNEmQ/adRDWA5C5dzIDxg
ktvrlSIh303u8MaROi/JBhRrGMKEIcHq32ZGajh6V+4LACDY0Ogur+2zSE9/tFF3UeXq89CiG8/g
F6dzcjZlpt4QN229tA4FMTBrpuzgJCrS6Yjo0qQbxk09gfjvIkVCGZM9F6n5iJ3fyzNtJ7YctKlS
3SyCvuacmgQgydqdIUQ3E/540RofuInGuyqydstUH4LQrA5B2T7oSNTpDt4Iur6LFPNCYDwckXha
qcs5z5ttWrI2Fx1CZYWr0CVF6XogazcleCLs402TRJaXTvAgeHr0p3Zod5Gc9NeBOaxKjszHRnHQ
O0gyP3f0/462dRD0z0fbBcOGkHvS+6Nt/alfR5uE6VpCko0p/L2JWzJ/A9ymIUZDmAsyiXvjr6NN
+Y0aCL6/xkiKSJC1V/ynHA200opX4tdCDuZA/Dfkt3d9HAZ3Cv9wBax6ZBXNmPT2aKt1FLujIQan
BlyXpyxZajlSbwUHYarFQ2G0A9wRce6RPUR7PL2PZoivtTKSb8qgSa4wsrduiebk4KkV5jo4uitv
QnsTOrIelV/CZsDsiEwak0IRwT4XkljH3VoxyWG3jF86AmAbXy60yNXaoSQeiVSeYIJc08cJltms
ldeOnDr4dZNY+n42BMu20pnnu8eZmMYVraSEYSnJLs0PwQwn9iRmx1ocDHYkW9+ZmcCaX+N+BSWx
/Azyms24DOlqE+6zXrqolvLQIk1blvFKUhYm4daWieBRxZvEQGE3xQFQqBWYT/KIRkDUQORiq0bH
SkU1VQmXCY376yowD+RfJ44emoVDsSkdi7ZsHFmATjLrSWI3lUBydN1fTF17IaT0wccQ2v6M1HQp
yQeA8aITTKV3QuXEytz8SJXuJs7EG1GXcgZ+WVdcCnW6nBQVTFBd+SHsyIcyHhyDkB/yufPToGbY
csroB56QxJErg3QDUhJg4rnWrOTsK9roV2bd2QbTY7dp8k1R8+dWGXHWMlObALurK0uk8AzhGGzj
CouOorV+hxEMU84aK7aOpWaGuxZilUom0TEmHm9RfCAAOIn6Sr1rYSobEcZpNAamLzLiRvWUO1O/
AItCc/NIavYqGxIshhkFs1OnRXLySbn/l5YCDxy3RgIrdVQrwNffLuxEjEYRdU1ylpmB+wqZT8/R
zOc0zik2sv/2v59EuFU9+8/7H6mwz8NL89z+dQtcf/DXFrgmmRDuasG5BRTBvvXKIrG6HTQw5pak
E1qyuhN+bYHmb5rID4kkLxIciW73zy3Q+I0bFGJcbA1rmqyo/5stkEhZVsKflSK3e5MywcI0B6lX
RhnybgssQhOr3WCiK2Kpbrlmb6KQWyiX0kNvDDN0V7k94kIuN4q4ANOf+kvGZpgIi/xrA8XLbYV2
S1iA5lkKKqtw1BUYA1HtYF+kEBdG2Y06k7FovYoCxym/rEPrPtIQVMLipiAXlwPxX8dGU7dmaWFK
FKJNPVf3gRmWgLrM09LMYBPLdNgyFN+HeYJcUdX2ixnDWFKNky6rcOwg0naxeWWNRoolO77qxOYZ
VB+3Oy38MuQaQ2XSONlgjcFJh+WkF8Y9+vnWkRTlwcrKe50Bo5VKx9HIbgUtP3Vc0B0Sqe6KJsCO
JZEsGDCkh2VXFIkvhcKjjE4hrEOftBamj011rIzyAfLeGcZNYkcaev6JJAUWBQg4MhCKad2Gjc5D
HxnZeLkBAzQTCpegnj3TLHpvGFb4XpJfNFQOCI6UbRnJSFvG/jxm5DWEyyhtoKf7iV6TKoJgT0ul
whHk5VIJ9G9yV92m/ewTq5TbSlhcTqruz1G+i+UcuIHRXuq9cRfVARNWdX7QY9R68ahVLnok1IgF
EB8lnlvqNgNT8HLVTIXhS1G2n6TsJVrA2ZkdkouoYTSUyQFYPuuCpq+MwtrYTmZ4U5/VCP4J0lCm
+foMP18m6yM2BtibNQlU3ZJ4ndINm6Y3HyIdP2hfF7KdlfEG0mphp3n5LTX00k06LPdyLSHQIl9K
xHLczdt4BgCc58nXplFeEDa94FkOt2GtntdsrmlAZjCLAyjCOVO/KFpKDOFsYswL1tD1ep9r+i7T
pJOGrBvTAiYashC9eZoY+4X6vDF/kjkLre+8cRCu4mr8bi3p2DioixJHJFRlqZGHGsSsqEItOzXB
K5ZeEuYho7NFQWMi6ja38prVUjbTMyl9txDh3aHNPRGNB8xT/HVEvJQKRLtoTX2htqm92AonLzXg
XBBoYWB2JCeGig58ipZdWwNpw/DJVnrXrrD0YzC0kp2veTMop3kuDMjuZlIRaLJqS4k4EH1hzaoR
ifs6zHJxFRBjo4Tk2eBWujbXhBtUtc2uotq1o26EBbMQT8JxT122XJQlTwoh4hN4v+oyID4nykXR
rdZEHT3hAyz0p66T9m15FasqYmVSeEwzD3aTXp6ngAyDgaQeSy6/q+0KXCPDJ1fzCqkFuDxhElK3
WqN+Rg3Ih1qjwIoWYUMSS7I8yWs2UHNMEgQvoxeX9Uz1zzIY8uB5XggVkuf6FKwxQwV5Q1OlbsGO
Cbh5oy9CmL6kPY8MEELW9qrnssDyrvFFFuGxZJZlt+AmflhrxlE4se6UNfaoBBelEl3L1Gjp7CGs
i6MgT9pJIjBJAMh4ngYyEc01TcmwlgARGAlLfRAAIGwYa0XjcBqa1ETLzoGeWfFN1LCaNTWUdk0G
n0wN+MZJSqQbPi9XZVDpsOComNp84BZJ9JNSNz0eaB6saKkDG5QQSalrVtRAnrxb1p26JY0A43q0
TyFowq6trzAvHDIip8RARLxPookkD/vAJONE+Ql44doF7KWapOYhtSj4PL2F2ei0fXLo+wEGdkez
UiasJyggosfwGC1cX//RrX5v3Gkftvu+UAz1f+fRWX/s142AykcHJoEaVpQgXK2h779Mkyspm14g
tQ21ufimKFJB6VO4rz04HDlrHvyrogjdtqzTPARI8fO//kVR9PbmuIoUDBkJE20+Q9JWev/bm+Mk
CuHQNEV/XubUYXnaqP/s2Mx/vzT+oxZYEtfZxJuLBypgrEAUcuhcZXG1lb5uUUskMdZ6olZnsdes
OxwuYElzI6NjZZrAngnoLXp118K1u0lk5E6IN4A9mUb4WJWJuW/C2TpIxurNI0R9uoxm5VqZy4HU
3zk02sOQJq3yNEy1bl6OQT0MyMjQyA3qENt6KmQXY5K1khdXVSmT6Jn1aPqEkI08boMCIN9seZq5
NCKk7G9apo5nQ62yC7UXK3SrVZohGAuw3q+nspCt7h/gg6VyIQ6rK2jIkotmNQrlsP6dyLoEbPCi
YSUquC5gA7w1sOEUWI201XMki/wVQhV7FjZwK/e0Kd8FM2QkBZ4AcnfJzeb6R2RCkMbNJOFq6pXh
JlsleaPaJI8GCXQEP6X9iTi0BgiSpu+z2DpVEIO8ZYHIUQiC8kMltHpL2KFI3jtlaj4ENd1OAZ/U
aJ6Uzjq3RQsqSTZh/cEb2nSFcTdLwgPyqdpFM4iOt+tCeku9gqAqpOKCyiHSi1XXX9HJvkSu2l2j
dsrk6mYRXbfhIGCtkhrPmsTpQc2QJlDTIxhsU0BAqtDMpOks17XemftIABD26j5++ftaeiME5yF7
v8RwJdO8JunFwBX27m5bz00dhpPZnFsvfx4bW7pZbsiuYXbYbYttwHDODT18O17jMcLbq77iydvA
ST9Z6+8A8wgzkP0YJjWApomiCrDl7VKnPB97gFDlOZDDPbX45KSYLtCkqqjOjdTy6iFQ/Abje2wH
pngKjSbYS3xHelrnzmwwjA7EGYH68tQRdum3MuiWrqvI5FueDCIRyOwRIsrX6b7OKtp1DWen0SaK
S/NetqUIz5YWTd6skIXDfTGhpK9VMyA8zNquB9IsyxsU6WDIuoZFYan0iYttMqnESajIfcXKGwmD
kANMtylsL3eAT8RNjKyxARA+PM5NHSLeRMJ2F9K9lJT81E8m12azIhyXhWZYNappMbn5+Ct+u4n8
IXmB0MN+qTPysN5tItaCdbjKg+bMvS/ZsBFk/PEiN+I48rSSCD61/kyj//dD11ev+e7bFCZc2UMa
tmdClynmG0r7EPpqa2zVvD+VNdVCqON1MmqkqBlUMaqQ+bjgWoEcpx3L2HwQGRag3xR+BKnqV3WN
7Fu/EoPlmxbWT/mILLou6ur3YfZ/fcr1jPrnOv1mpTw1fy3S15/6dSRDbl8dsbKiKdpaiLOMfh3J
/JcFOBJx6upc+Rlg9qtIt34j7QY5Pf3InxU8C+FXn5IoUogDogga8o/6/V8cyeya7zcyJLGYszSZ
bBsN8OW7ZT7I0D5qwZovoC20PrrLghu7SF5DqoB7PADWmzSM6pogOFpQVKeRJEYx1zaayVyshY8N
+EbUjlMBdnlIZOyKhNFAYCDzalZaX5bY/XWsG1uKqOpKVlm9Oo6qQz6H2qZNygdrkRJH0MRvRU0B
QSDyVR5juiTmJcPpN2BZCI2LxYRrUpQD678yUoeEycWWTGylfRwWTpHLV6kiZLshh5aTB5onNpG2
FQxqDU0J2p2Ept2kxVZo4JjSa/bRlzGtb8CdHat8jQYTdQFwvDDtQwvw8dJZ1YXY609wu66tmt8S
SOlJNcXRVWVofVORgc62SK3ho1HkzCYP4kpMly95X91ZSX2Io/ZJFPCVVDlvdhmhIJvJUdVWIsSo
nZbK/E56dQrBjwxtWE4HEi5KhxKnZszJLD/SoV0CIUxBMAABKH1mGJ4h1KBZqodkvdQbK4QqjvLG
Ixb56xITxb4CSkYgi/QiqNESpTYv258kE2GFmhDvmjoBUAFuXiWi+wbHK/cDZn5MTbgnMNaULOy9
y8tiAnbQjOFQTNyVjAbKTNsyKSr6tnLUHN9Qsw4YrZAp2rjOHHsGlusQkqrVG9axZDu/BJgJMEl3
jszccp4L2IPsZMY60iQKoPSldcxpMu8Mmlm3jXUEWiXVVcRM1FyHo2Szh060DkybdXRaMEMd5O5L
wky1X4eruk5gq5kl/prevI5fI+awPfPYaQzvu3VA2+UEka8j22Ed3prrGNdsNcauadi5xjrkNWhL
eOU6+C3XEXC8zoKZCdPkZjjMlDgYTTxK6+C4Y4IsrqPkjpmysQ6X20ng/kQC9jbouPuNXYqjJ1Q5
utbBtCgtlTutw2ogWzfGOr5e4KVtZSbaHQhth3QhkvimRbDjenUUqOohE8YrXYoeCyRb9HNy09Na
/Zjr8pboLKaroXUxFWTpZQJ8biOSdmIIDwHHHafACMAQAfhFOQm7puygDo7pN6bF9wnz9GrGwK32
k8ut7oVNCu5pmNuQDM8DxnGPnKUGl1QxkDzTXiqV8j1R8Um0VbRVwGiMiXUmqvaGKVfi5NrymNUd
SbaCFvqmliR+FXKR7wI8y2V9BWSEgJQkfUkWbqGkT22WHr6DnAmED1O121YY35RROPJQx3DDqvS+
GMt7qYmYJAzqcyMmTwUMb75+rnIVZS1JJMqpL80vSSMcMMDuTSsXmRlrnh5V+4AAPxxixOBQd+Cs
Ex47og6MpDyWDQkSsKIYSobGQ7dgUElDxdoOlWG5bW7l21Fi4dWtpV7IaWkKbq0t8fefp8F/x+La
6v3gWATEfOzj9v9dfI0RDPz1fFx//Nf5SF0Ks0GTCA4RTYui7c35qLCpgl22xJ8BcH82sTXiS/gZ
k/8wAQFZ/NSv81H9DS4PPwameT0/mRn+i/PxL9d8jl90KRaHIxW1Jr+75jcc6y2B4OFFyPynlQ+x
+pkPBqbRmxN4vWiaiskvgpciERi6Fu2vq9VcKkWryhA3hynMrai3/EmWk8Y38uk0wV8jgKeY2w3w
zsTDrtww4OlM7YaOLB0as7P0E3u0hW88DOpT3whm7eS9otcnXRfECQtbj4dNrCRj8dpR9MpqFPFH
w0r3Gihrm2mql01ToqYYqYM3wEXB/JZjslH0iinSoF8mRhFuqjQX3b4MG5DrYSZ7YVNi5i5yYrRv
imaJfuTM7n1FYqaXOGYrCpjrZ1VOHIv+tOhJlZqTIKnmonLD9pziB6+n+qoDSdjENfoxLPr42KIH
pZIOZGvgD8gEuvFWulOGejMY+nHsdYkWqXAGNfRFS5Xb2mpvmnQ5hsXwRdeIbzB1iPVwE451o3qh
Wh+jKGHSGKY7qcG7T3fuMOIkNcUcF08IQT+e2KsB5i541RsNwkOSzMSCGCCGIKbh7E+2QI6P/YTM
UU8hjFUKuo6A6YOZSS8cTxkeVsubSz2xOysmpk5VKJ+mSdsUSrAcGDYchkDYTHm67YQ43CBiaKD/
Lw5mDa8e4xN+NsULFBUZCBEKy9Lsgia+jsju2iQFh2WI1a5ZiL8KWwmy3MSxHWHPb7pDpIBuFAjk
+jYPzBrmBl+bKOv+VLFUJ4noA5VALQjULuX4bqpqWP0FOLoEIm/KvA6uAD3vMNFuNHUubQzc/ZaA
as7awJK5RJH9LM7dqdZpTIZWsxvSad6UmfhC8ut35qbmBttbflCsHKhRlGrxVVWYObhHNdYcCUsm
DSphb5FbsWlN8VsqROi7hDMW/LsuEjZZFOgIUBrQ1AS/Kmhec/NqKArfSmQ3aQIPz5WT62O6HTN5
Y9IEcGuFD14r1tSE4R58FP4IurwQUZ8WfTiVYqegqZr2WiZeLvzSQSpOuRlB5JJAQArPciu9CMK0
K9XlqJCLCPAPJF9pLnsjX0xfIyWiMbS7eqF4h1Q8gHLuO7M7qHkK5WS+pIMjAYlLsTuk1iPyo0cF
UKvbjNLRUgtkReoF8CYYNJFDzBlhZ1xNjEi4xSJ+p2ICm8J0crUovFQH8s3EGGJ5PsQHYFg77uUM
wQfpSyVEt/S874ictgnc8FdQOHe0fW0J+4l5FrGq+r5OrE2mk19qGq2Lv7r//+ydx3LcWNptX+V/
AXQceGCaifTMTHo3QZAUBe/NAfD0d4Hq6qLYanXojntQEVURJSENEucze6+9MzqjvTZkvOf9zR6z
Z1DHeJn1NFq4RR2uNb2MT5kxJFt8wtpTATfrsSF1lgZzHP27bMZSDCxxYMan6sqoUXQpURt61Q+Q
BaDQkHDXRaVhPJYz8KIvzeiESg3YVvpBxOjKmY4RfJAyqhma4cz4jGkGaYSmda+AZl71MDb8kKxZ
f8ZutIaLzizExdzPUA5QBmTSaeZ1K6DE6hXojqAH4qFC8wD7d5PNeI9YFiUgDpAfbEAeLRAgfPNe
1SmTZ894EAes+9GfkSHDxBiBGKRXI0AhYFUjYBEII9Iwb8WMHGnikZwIKCTxjCMZZy5JW7x2cEpi
eCVOrOEch2DiW3zLEE0wtqMliIE8tN/tWp5Tc4rXARblhS7TJ6RA6xA6Crz8RfeBSwH6SAcTl4Ak
aTzimZsFXWUE4hZDW4kr7VtmtQPAddOL8/6p1/0NYeslSTPdc9PSuENuqRK51iC5qBBdzA4C/4x4
wfpwM6TjRQ77pa1UfuAyfgjCcRdBh+mH4dhDiwlmbIxIresWjgxV5NMAV6aIjaUDZ0ayHlUlQff2
1K97gyDPASYN38Yqh1EzzbAaF2qNMeNrhhlk00K0wdoYriixi2UMeIVNA5/gDMAh9+i26qN9q1tg
OiPxxEkArp7+TYnyS2jY7baIgwdzBuvoot6akHZ43Hggzo/6jODJQvvCgclTw+ZRW/PJhYvpw+wp
neQMGnCbZISgzlCfTEteFMo0U0YsaydJJLz/QqzGnj2XF81gIFyUewNSUDMjg2Kj2ccwhGrTevZh
ChF6vDBYi/mG7TEDntao/siaj8JLAY+Ivgh2K4QiYcQ68sbo6MIuqmAY4dGZvASqUT/jjSg+xwt6
eRRxGmnJ0bPlFwcxI5G0GY6UZ0KFH2TISzGjk5wZopRAU8pFCKRGOGdaLXqmvKoOzQxfamcMk2lZ
b8xKyZCdEU2ytLhfZmzTiMyRxgCU0zBDnbQPvpMctSOWQv/7p/rsF+PMucn/e2A+lyA/qA3zlMIl
ygKRwecSRE1MNctyXznF8Z2V3Cfuq2H+qWzkyyXmSuuT3WHkLraSjksI4HYW8QXleYgvf/825vHY
v78Na3ZDMvo3v0LANK0bM+lGwVmAg3CYGrQXw3AL5ub3l5n3FF8vw9iXiYmOAAAW2s9vJYAHq9tJ
jyskm1YVjvdG43dY3XXGpezVhdXQf5n/C5D+sfVCZPKbVsJ7T//vRDXz/u9NxPwH/2oiNP0fJiJy
9Fr/TJH+1EQYYNEZcOlgSX4Euv6lhDFmWCjNA4M023CBp/3dRBjELTrCtgGZWH8uBvz510WMC+Gv
WHMNCnyXTl58aSIAEsRNOuXaZQ46VyTRhR0kS73/bwwc7UMu/+nGNHmq0PpAN9VdGCzmV8GNgvoZ
knQiL00TLS/pWI6x+ogdiSBpFVrAU1na8HHb4oyt5qJKyjtbA4ZSNu2wlBTwq6RWE9BupktdwQhP
hye3UMxyDqOtH2VTlksqKuTe8/QpbNKbkgsih0svC0FUk2pTYDqVBtRB6Wc2JA9vSqtDlQ1LF/j7
khCPycPYvdV1Igt8q19rhtl6HXGwXgMhs7RxzTv20TU6tIiq/ggYtFgidblh1X6tZCSqKOYJFluP
DASkMCK1Xe32J+lnbFtc9Q7BbwoetO89bZYTd317ZSrTWhrdg+vU71pgPwfZyCnFCC2B1sD6C75E
7R8sO4vWOKy3luvXmwYezFKv67vCCraRYwTLNAwP+Otecxkm6z4TpWf1nObpTPdUGNIvUlb+a7Wd
nnmS9svJIBTFqdcOBBb2b7pXzfw3W72rm+BYwKOCNTBeo1ncmOTGoTFRFi1iDl6oHjEzysHJa+aN
MrIRzFoAV7b77LZoPdh/Ed9YLZrOSBbc2h4dMGiQJt6g8vjujKhuhGUelb5DLJ3Dqq+YoKlseTTi
bYaRUZckB3KdqOlllYbxmhC2zZQZxyAgpbJVjY3b89mGMwEVSWPvlaD4cnDwUP2vCVocPX1q7iML
pWrQuJRpbXrTyG7HYrL3al284W6ELiTH+zSKzM2gT2dtyJn9hARZ1FP9TU21bxoF/TIZ1G2Rujvb
NFR8BXID1P8qSxyS6QrrwtYJtLHS/G2Ky8fQhg+TWcUtiv7YMyqblqDTN7Ytl5rur2F2u/WKW4wM
D0OGK3UIq5c8plNdT47SjihM0bCqYkhgKI5aHTRbQxKBR77jWnXkDOimaUhTs0EFQsihj8LC0L9J
4e4ik+SkCcENBWLZ3yemPmPEpUodbkazUJ82y0tibaejGFEh8reznMipXvClXKuJ8s5gIVnQpl4R
uDKD4/tbIBHtcnClV8hE3SmZCQJf9hdOjc1DAVVmRgnM7qaP5nh2+WTFdkPjUB6DSPjLphzwwqDo
MJoLEgi9vm22UrYzGgwxiBsv+1hcxnVxTCx+snqeXKKOZ7Co7KYUmx6hmiHIuJFshj76Zskxo6Cm
3hk69Tpsrc1QtO8JjhW2TmDUrfJR1qvs1t6FRn1IWmULh+RloLmYTPb3rNObxZg+p8ZNLxuA9t2+
LIiTU3BM5Khz10h7QteAIgypRurGtidSpVZDnBcggGC3xe1aqEQqBL0BY01dsH6Unq/U9cKQJaPc
/DwW8okpA2j90bhvW+EcEfoa1W0R98vAoUvZFlpGpfTpgPlFLfTV685TdIbVYemYtzVMfb7IFJqm
0Q1/tMZL4qLshbHx98NNcdzFOMBf8gcio3bgyxf+AVdF5zEm2f3++l+KmB+Xd23OHfItTOurv672
O7NXrG667O2X0t+5OM/d4Vmh9v/z62gMydB1CMsQX6sYt+XMioZ+ulSBTA/NIk3f3WA3Y5F+f52f
Tz+eQXycfJ6cgdBT4Md+GW9VbAXMTg0FVJxDbZ1LHXWT8fD7a8xQ288l2Y+LfHozXy7ShUI0GhHb
l/26uQ+Xyarfim+O55CLe8y4xxbXDE4W2Vrb3p0cL12c+mO0vm9W/uoq3svFlhXQRevxP3rFmn9W
979/fdqXZfLH62OGSJyLqeOq+1jjf6p+026asCcJ9ZLkkpN/xQT7qD4Eew2J3LLDFbl/UjfD8lSt
5RYEVXZgJXBFpMOaWPTlx0v530x65vr855n0U5H+YhA9/5l/1ZBE/zFpdgyVka8LI+9TDan9gx2p
oJKzLTGvS/8eRM+GSNNAD4+bRBV0BX8Poh12uOiyGe4Cnaca+6NBNFren25x1FNE8SD0nmmKtuZQ
mv7cdbQ1cPVUi4GEtmQelA5LLL++bbUsXMba2HrcYMVt1KvpWWuz7KbpfFDDQu223eSrWE8gmLiF
35Kaop9mIjNCUMqy0Y7fdYYoy5anxAEG2avbyfK2GFk4JlU6XLpBQNGXgf5yO7+4NZr+WIsOpEpO
Ll4UFme2ZZjWZR5cq4HNDo7H2iroCX5pVPUuo5PdpqnebWKEHDwIdvro3AZVh5nZYNAHgTI6pwTT
LFGswQe25NaVzn0+adFdZcjiGGpjvm4nt1sqCXonlY/gjFnfXw+idbcVmtJzIDWQ4B8rnXm5k85r
Hkh5sMPY/BQNe0KjJIlkjp7o2A4RTvEk53VRy97InRdIJpsk0RkIZQOx0tgxJeyaCAq859M8FvMS
SszrqGJeTOVJ+GyyqRosd1iw1n4IquShNvN0RVSaXPjst9p50aXPKy89V3HHBcE2mddhisX6bV6Q
URHtrRrxdTuRL+7OW7R23qeFvmTgzoqNL5q5uVXeFIp/MljCOVO01Zma8U70bz5rOmXe1yXz5q5u
gVRVLPN0NsqEnk4ns+ArbcvBq1j8JSwANb1+mFgIKj6MyiJE8Mmq0Jp3hva8PVTnPSJi+h08R8hR
3dB4kmUj82G2t5mxBUh8QcnqrIp5M2myoiyD6YrIqAMJzdSJ8xazn/eZ3B8ELznkqpz1kQX0K+No
c9zZsy+OeLiDwuCc5bFa41c1CbcNbfNdaZI1wWawY5VxbU0UNyD0zKPo030fE59mk2q34JS/0G0T
IWzPyNoXKuIq04k2o5kwZwTh1iiTdl2bZr/snRq3aJC8VVppQHOMRrL4xm5V4FASIqFlSCY+ZJR4
O5AykB5QuTMVdOwljMmtHpTXaZ4P3NnGbnDcBjp/Jm7zEG6nb1DjEY+yqE3ApyDHMsy5kkpf5At9
9N/HUdtGimMSM2Xe1q3/rAHCXtqJvqTPPBmNme6YPlpEKrIgtlNrp6CYPtsts3d0ZO2yVCOG9zXl
VDJrAVrzQkTYBNx8hJ2smPuaYIW9OhaHykjVXVVEfEstDi79sVH9syKDNXz+gXylaNNW5N0s3YxG
hsIV2mfoOVX6Gqbm2ilKfur8TMrSHvhgs+cybPaDLctdoiAzTyNVPYe4yDy/Iz+CkNpgnxtEHeMU
PvUVuS54xVba6BJgl8/iDNRcROYNV6PKrnWsSsDc44QzStP8rUBlvHKawtiMge96AurjrqzyQxAK
kNNBp+8bK5iYZ6sKiml4qAUSEUshf3hKxr0igsdSyfRLLcYNwdMv2SmR4RK0Ve4VfRZbB+CO4vKp
suPge5ODNg/5GV/ZcfwOuq3F5eDq7ML/d37+sCRxdP3n83OV/p9X1C/ffnGIzpXjX4co21wHMx3u
R4PO80PS9EnthJSY2ZyuWf/UJv+tdmIGY2Ao0z6CAOb18F/b3NmtpKHH4XydLU4Mff5km6v9XIxy
iLJf5ZDnJNepRfl7fz5Eq8AfTEXtm7MwinuZj3MybuUpjI4WdtzUl8rkB9ucZvPRNBCvMAWu4Msr
NtxGQuUapc/3gPk6wPr0OMI3HvAe2JD/HXjICLrWk0F+WxZN4N9ZojBV74pV5buIbppG4j+YbrqW
flgfnHBvlfad2+Q7urKcRx82SMJJ9hTUwbbW7V0bDQ++xObcx+VNXcwKCSVyt6oI3ghUuR10cSCc
7FSIEFFRgOJU1LG6Hk0V2bJULlKeA2NFo07u9wHbypPfavvWKptDOCu4iHpfB5UFX1daqGkG89Wq
E2ULhBzjxWCOawJ3363Cekd8GntkliF7qvqjO+iPuVbke0Q/7Axt50Xrw6uQg3DHy3xz8+ycIOYF
o2UvldAqivsB6/mKPmSTqH6xMUvrhQiqdVAQ1eRjsZjM7N1i5zSQz6kWabkxlPAbG5ZrCYdyS4yo
w5LMDFaJnCYvjhRr1SkDGTGSXV+g3Ue+c2R5guFDUz8iDEgsLyXBcXmyAY2/Yy3xnKlMgyu9bTbs
Zs4TAT2o2sZ7xEOAP4cG8WnZDhMBW7SU7kWolN+nLgTdP+/bm7gzIDsQ40XO+bDJIoxhVRS7PMbG
8EpPtDvCpqJFOaJf0uZdY5DoT5MgfIVVjdvddlYanOAflPtJZLVLZFyyLc1iJWNxrVK8UCI4GHxw
Ri0SEd3PjinAtxC0dAWXBso3DPoWR7lZtLSfSnEZxL7PhDnYkKxxayuk5sq4/tZ1DBZTi/VHzkc8
Zp4fDw+s6L7ZenbhK8hnc3Wu0mq0ZbbSvRhZgy/G0J8ULX1mPAXqPbA3o2uwUg3jrSbwW83ZNjhL
gevr+aJiQTrmiTeAOc7T5MLy7aPaKUz7RlZzU/5dpIVD6LJjLTjyiSBLAnPRK/Eb+NpHkwjdMRyu
07C9GHvlFhvec0u7yZANsGOnHKoBla3u3w15fBglwp3K1+6DDH5CWPu3/mAf2phPqNQCdNQlc5/E
cU+5Zjz5trzD/8hZFFAxDZwcaOXFK3G617KGiFdigPbZcDl2f5aqca2PvJfMj65qtumWA4XLcfYB
FWJnAXhVzNdgbO/ncR+JNMQrmucwmrZ6nS1KETEwbMZHs3OcTRwoGToDiBjMozlfK4Uybs6A8wcC
VPuofqybbK+7sHR1bReK6b7LySvsYaEvK13uytqMltywJDcq6TXxhq+lnpGFlsA/ZmW60dpYXxFY
5qwQl83Zu2iyCxfehkHRiKYw3uV2uRwade1oiADmJy5PKbVYJUZ/WUB/XmiItNZdP14FAmu4CoBC
8BHwTLrSR+sYd+6bidaMeat1p1kGxucqBsZPHF8/lqFXzI+4Opy8PhA3mpuvUzukCisbsjXI0nRV
M91mGM0wWmDiyFpraXG/dVNwowrj1c5ggASac0z60N8EgaKsmX9fE7FVkyNJuTVq9qtGENaKat5Z
GFaJehzGcxZpxkzbWCdEvlHW+jdxhZYkqtXbPOoRloJceStDBTlp38Me5hkRRQ8y7M+1G24RJHyf
GCGtWryUZCkKsi2rEhd1Y+JrZ+6cPWSEhgbHCejnorX6YgVD4EDC0q2LOW5RZ7ZGSEnxXEyRi4ex
1xdtMj36PXW+3TevVqtUy6mrL9nIncJAZTvpPw9N913t8Gvreb1PCVJOAoP8o9a86rCTd66CQE/U
Be+/WjnpcCGUmvDUDnAikj3BJKy71QdoM77Yp0V8H/doGhLY6rya6ZHIqGNTjfeZKa/I5LjkfuBD
GLq7LFFPk4l7q0VEB2uGpsvGKzJD9nN9PKlWsxdDfDDEcJdryAwN89IKGq9EpbBw+JeBVAqI4BZj
TZbONBoIV6IYim0utJZIYsuTUbnNq3xbx+20sLOGx46FHs/SR+p/EoYtlcwGq4x30+SInZLIXR5b
oVdHWBZJbtV21J+R56YxhbdeAroT2A9kH6uLYGDMrkED+V9V9lGVzRXMf67KjsRzvtfv479vx+Y/
91dRhk+c/Rezp9n2zZqLPdenooxsJuxilsWkEbf435MN6x8u0nTcJWzObP62vyoypHcs2ewZJkj7
Ngva/6Ais+exyqfJHRUZcQ2z29zRdTZj+ldCYVayOBnxtZwyHT1CSU3lAVZ+sp2AfrN70FrrLpmu
OIw3WqWutMq56trgzk8n1NNwqpYliepVPh6tC57Kb7pM7jIes6CU63hDThG/W07OUQY7HptbEeRy
WXbF2lRrFlgEoy4pTZ6VvC9f1ZblFU22XKF/9dcT56CMamvrB/WerQ8PXj18yMwC8pH7NCkt6AWn
XmKoeBnj5MoN9ZfaUh+xdWpLpB3Hto+L5RgmBTuU2R7JXsQExfkwCucZPFB0yEsw56o0LbR58V3S
pc/Eb0w7I4Oh1ijF2nJ44FfaM2uhE9GuS6bvN269oX1dVYh6yBeSd10YPTmRspWieGhqJdjbWum5
jbHM8v6kUmexPTwNY3QyOmw5IyEHfhR+K8r2zI6JwD1LntyIUqqItJ3BY6piXD8WS027Capjba/L
Nnmq8GgteImbpiF8uCV6JzVS2PlmzZw11pw73/AXBem4295yZ/w5sndfuYA7KrdFiyXej7qVLAB5
MEewICetDStUoG6kjG/Sb7USSq/VmhJsiNjU2NeXZt9djmSDilggxPOJNwlzAFRRZOzTnOuh0G/M
ABKVXb+SaY4OW1gXZLJ4RRMzmPHdBYqSC9kyWSrdE7Qkz4rNOWQiJqQqnAgz8myTgq815nBbYfYz
QAUB3jSPL+YNPlHNpNbbDaDwqM0gUcHAGiPXZMo0Xbqt/WKWyg4yfbvuGg1RPSooTRuvpE3ejE2y
rlXpb+OMi+dYvc7VLGYTUm+os+5M3HxVltYrYVvORaWohEEWxzIenvtsuA+b5rWsHOmpcvS9ybKK
RRF3Mdo+NWPP1KJiaTF9M3HqInwUE1PC2QNw5TeGDnlg2GasdteoTki7GS25SIqdTvLqMrad73wf
h6IszwZysMQSG4IyxDILKW16jOxjqqOlyp+JIzu0qjwWkwZWsM33ftNeEJ+w07KOKgshDTkLr3ET
7Nww2BDcmbKDbW5lE92UnXIXFRZrx2Lf1cZ7AWopEcFZEflz3qToSqhAEe5cGHp90Lvi2PUJZ0oy
XMG42RBJeGF0RN5Pclu6BYJNY22OxrYKwn1gCJqSUT+UqTzIRlwK1sJroCeeH7SP0gYn1RjTOqoB
TnWEZhDVsa9d7dqMygNLvy0A7o53mHW7uNfOhqiPmEjOedm/NdFIaxdoN03RPATEUMPHOUKX8MJg
vM5JKcIFEz4kabi2ZPSAPndjBsRaW5GzG024b70MuTtapEwu+C5bvzLiYIfH9ipTeiSbolqGHbIs
VzyKQc5Rs3AZXK27JucL+VAfLCabCj+fsseu1bc2RtGSSa7GRG3ZOfkRNdszzLaNVChrXLlOo/4p
r5FpmuL71ADDJXd7NTX+YwQDZI4JVvLsWovYeaYOS1aGPSbPvkHXiVNGqlJb6cENugsDUe3QdjQU
qnsIw/Bs9CmorBF9XREcpW9kgAPy156CY6HUKfEr7qYq3FOdI9t1yB3KKoG91VTvI7W7GPDO6oly
AhZ6M81foe6Yr6U68GsMVromUe0rD4PozzouTIEEEqVcsapH+aIp1oQfJ4j4nZREWvBd1Kq5zrsg
2lQOkyldP47Eu0PfmAld7Ljp7bzGUu8Z0+8rgr7R9wI3Uq56VtJLzbgF27xCdPaKyO5mMtvgIjer
EqMEbGUAeUou2NtVJOJN5rNaWhtb8xeGLs1t3FrGStaDtk0Gg99y8J7gkl/YeSGw5sySLxsPqor5
X5A7ZVe0uNwU5VJjcrewArFtsu6xkdFNlU8XYxfc+nWzzZUJbd08zaYV5z3fBmP60FYh2E7jkkhx
j1CCpRZbVKMksZlGcZZtANZhatjq91slnTbt5OzgFV5NqbqtA5ePRj0rVQ0sltK+77SbZG67BAHq
nlNLlJQqpaJuHRu4z9YqbWjvVp2sonszi2DK+ZZ90HL0zhl2qnVIAk5WTTYW7J5f53RRRTZDhpq3
NI7ltkbuawe5S7yRSRPe9vlqUuiCtB5NIAqLYdF32StzhJVhQS3hhIH7xpLEK8kHGxBz0rNuafEj
b0hR5ha92+/xqNA/K+P3vG52xHqk0AtylBZxjWwqGrC8pOlDjxYdvIZVwzpy0FSEja0ssthidJwF
F1Jty3Neqe1jrNptiMq2VtadI82rRubTPnUmAnZkajiAUTMIUKUkWGFSlQup13u2DZeak6yNAeyC
hl+r8q8Dste6CgWXTb+ppQ7pIWr16EsWA3YgV7XKVh7t86YjSWalt+1rH3fom50nw9ePvRw5ZIiF
I8CFdMhFpDe3pRCj59jhC0/We6HXW1+GZ2EO736sH8g7hPUURitupIKBkv5YTubBjrIjidj6EhkK
wXHJWimzfd9xRNdj53hW7Z9jYRJmUlwzTI8oyaddGVgX5hBtsWwRbV7uSAMkGUkkHp1VQEOmA6zJ
btiqe8hnRw8Gym2eyhx+ZHJgsrwTQkFnoy4phTbaUO1an2zAJNwFdnUIyvaBXdQhzdV9rXPS6s46
cco3P55WcRJcDT6VwmiWq8kPVzXoQrNq37PQvVDyfNlw0w1Dd+jc9M3SBb4JN9+hD7quNQwMWkTa
YTwu9MzahoO4aRJk/i0u8uU44BYGrDXVcu3DJnH9WCw6TIltrG6zTnvsHWOZxuqwNpUCcZEyUlpg
Kc6Z0Y1p8siWaYkAOWDMoa1cmB2MxdKdUsb3rutvdGe6FD3u8qRVb0ey6PW4fChUcvtAViByQhHh
10W/HGLZrYAPnvBGnfxAf2bRRCpgXILcsNliRTvgWu4awQwcgOm9HNEjlYgQeL63F5bGzRIU0oQx
adOFjqW6QkrgnAsVRKJBN5Q6FtAicZUajOgYOy2VQF83DaoJ3wzVRd2IbBuO1pMp4/HG5UnjsaxB
xeh0EI6Kh8GcrkrFesIg4q/LqHoUPeWLsLp1QvrvMm94146vbt350VMRn0vmVLgNQIYszTI5lgwS
kkCZziQmHko1qDzNwt5W1dn3XiUXpRoRxhj8F0h3T+2rmyAayk06ZTtpawjK2w6z8Xxqm8bjMCdZ
xQKBdz2weapG+AFJdEpksjSgNO3scEKl4tfWIhp0ckjSYC+ZP7hN+iQi9DLzz93S4Se6Oad5AmP0
yQnpYEvjSpVDdOHqOTbFcheU4lYLqGgKk45ZdpsA8I1Ak18FgsYXD3lgZt87B8oM8a0k+zm3SLn3
URsfkp7Ui1QOq0ZrH0e1unaHKmdAaJ9iNThldsxgwxjxOcb3Veo+GYN+jd+/OJg6OdZdYBE51BpP
U+buoM4pyxiN2ybv+YsV8EGFGrVeySh2G6eptmg+TC3Bh8FlUGONNqLGX0Pb/+GCSXRLWWk/3DGf
Or5f6FV+Hml/aHdB74DU4Ix3AV7M0oNP0gISqwV+oTw6x2UJR/zYTMPCNW5+f5Gfl89/XQQMhgWz
CpHh3MV9ukjiD7WOPCk6i3Gn5EcBEmDOQJW3v78MneinZvCfl7Hn5I55lS4+duCfLuMzuqcLEBTu
2ndZ3Cn6H6fKzCG+KhsFQbNpfv2sGndkJG1l6TmX3GhoqV7++PVDo9T4hPigwJ99YeOx//YnIh2y
M/PJzLw03f9Cwp/XE58EnrNO20Ia9K/P58t3bVgJWCIepWcj2yjZMlHXNXG/ULze09j7/Vv5xaUA
yFiIVw0TeYM73xGfvorUAdmEtys5k3PVsclgVjkz0ZYcw0r5Y3rzH4kt88v+8rZ++lrmW/zTtYQa
ZRi80hRx0NJtqOiW/LRmCXy//vM39fn7//KmchswcOf8uBCpnPAKh3DNOTIfxeV/udd+8bu0XVXF
oMjpOEN5fn5TusmehIM3Pzf62of3N6xM/+33b+cXP5fPl/h6u02NSa1kivycOy+x/2Qo/x+3MxxA
A3k0yyvzY3bz6XuJq9RsDUXLzyw8UKUs0vHPczewG6AsgZX6oab/ImrJlZz63lKL82S/SPsEWRut
xX95dv3qTuYmtkHBAj9C3fPzF+FCJc5Jq4N8R+E3Lh0Y+uZVjxKi9Cb9v9zJv7gWe8pZ8GY74Bm+
PidDECs6+oX8HM49NaSxZTiu7GpRUGNdf3z5/xNyCT7U/zzyXNfvTf6rLTR/6q+BJxgsDkIEKuyh
/xk6/6+BJ2BMQM8cAJbg/5gBwH9toe1/8N8MSX/gf9ncfJ554i0gRcW0NTT2PBL/aOb579h7l8kp
yB5uEawqWG5+viOTLFXdofXtE9jvfdBWfX5spTYSIpj1ZQmmN+omLI/MnxjQBMM9NRwtReHmJUHk
cfg06M1NFlajFxIMsZRtt6lk4CHdRcwscs0rVLCzhRu/6nN6qZ6b0WpUiEfMJ/PEzLdFWq1gAsyu
8yx5kF2hJletXYY3SRIhvxoWue2TkMryIhCRckr83GFq1VerOlOCp7Fsw0vfDyPrMkxH+9LMHfTZ
Bmh4fWGB0Sw8089EfmvZCg8+VjNy1Qyq354rpQmj+47dY79KE/mQaAxNkf0X2yjEd8vWsT7K2NjL
zrw2A0xivp3fiym97YyI/jEs37SZy2mF3WvWTtGyntPGVf01zMmEpdQ6WZ32YA3DPVNRc6mzA1d6
xVMyth7BjKM0StKJHUp/ajXbWKlG+AD90EFangAING8SR57juMSmp0TfNNe+zTrjHUNYtGoyPhTT
aa9sfZbTQDLZSv7+hYaT8HnUA1aDuNLEhKy7mtX5WercVqmqrYs8od7U5wDpWNuG+HHzvq89MDw7
PcQ1ZmJ/W+S1ja9TJPmKkWHKrmTc66V25Wtdtpx0HiS5oW2LBG06ratcuuOg7UZYYAulE99E4XpO
13Ao+yapmXazyXL3hbTMA4XEodEB/keOohBS78KhAKLihs168JVvpjutUzHsSr88BbWFrdKvvbKe
rC2WNyxNfvm9LWhLrIi5QqdkbzJ00UWN+SO3dAuZvbe3gFySNbfXFR48pjROcWrNWGFV7l+mLs6L
oGBSEKrXfkl717FEXIihNrEQ9sxJ2TOGZvHYxRqP4qDdt3yDbdOtzSqMNoOJ1dcSVbGacmJe+/E8
VOaD2rQnt41uYzyzy0g091kQXodGGHml6IiSnyEuFrOGPqyvR9u/FZJE4YrgUeJgS29UZbBwo4jO
pvYvO9AdY+orO31Q3upKCT1hlAmSMvZyk+qm0GmzDJlZs3FsQbyoMU77grFhPBbw2Rxz3iPk+jKD
Ho2kUl6gI/uWptEeMVtKxkR0RJlULyJhH8aiUzcCrsxiBCyi8gPwDDWGdVHK9ei2Z7c2HnslZBrL
nbWIx8xiaqh/R7VGjnZZXHcTki0skhOfzMK2BwbYeQFrMenvNDnlW8Xg7vTnLXaTRu/pqE20Rfaj
KWEEYHvY9UWCUaXWdihjCOp2HEDcCjxPA1+JyAxjLav4HAWWZynJdZb2pyDk3pahraItSJDPuZf0
X6TkpkgoZCkxszAbWlS5dSvVql+KWnz3NeNZ6Omb0M1dJXUataBFQqFo70aj3Dcxg+osy+4zbNwr
ze1uxrFVN5GVPRWjcaCdH+liSSMAHWQzlL/SY6e0ib0QZKuH1asuc6/QTKYhUOgWnQnaQBna1ZQg
KOmn11rXniqqsK0rkOeVrn05dT3NYxuCTa0tJAkGE3E3HN/8ERiQsNubMCcj2ilFuh1FMS46m8lm
FurPpWXctNlMsw4ZE6mdL726w3VCbwVmKBKEzpWs2U39vZ9G18tNlumx1nu9X9jbJMndZa8w1SIi
x11kgs2KNOQbbhwinJjRbwVjpVM0mMymmorAY0ULPV2rruX/Y++8ltxG1qz7RFAg4XFLgqApksXy
Jd0gygk24f3T/wvqX2pJPT09fd8RJyZOjE45Esz8zN5r5+xsJwd+r5j7TRqjQNSd2G9DffJiM5m8
KYnKk7SH/SSDL0SzkmXCSHej2TZ9vs7TChbizbJzhCfLjMbMAz809IlM4rraF6Xhp8B+SfG1Mt+h
FIJEGM/bPKm+1A4D11rZAiXfFqgUbhjYWYzuYnc1QYtY4TqCR6Hk5GmYU3BjASDy7Qr9YagfEzuG
UCwTZ4s0KPQGBMzroJ+mQ9R172mlgpovW/2glfoyfQAFm45hvovyfH6YB8l7M0yKb8JiXinoGVah
BobUbPu9DnUN37dDgIXZX4WZewjc+UqJZ7kMBGo/YCFYSzIbI/vOUSBDzA2rhaiDfIzk4VJ20X2u
4VVKER/7pc7quYuUep3o7RtZ2P1Kknu1HR08b5MgjRj23UgwcnRpYyx6wax6Kez3bVnOVwTRHINM
9wjTuPQ1MlY9qdRF9slQw67PSHffHGDVWRMwbLJdlDmWwpgOtWahO9MmsEKcKnOFJU0dHkWXvhSp
csnq+I4hTAGtQbWYEghrVRvlR0bORyhVw291g5Sa2OBbxlruDRlcihjBSd/F58BleYkQvfeGig1m
EaRXQBdUeHpJ+FhFmQd79bOFfmSl8dG1M1LfZPvZ1BUgfe25/GagauVbYGruRri4meA4PoLXwR4Y
Y4/SFOVmVkvVU7L4xLibxV6RXmU1lchCdTCVngNMiI/RadhWBEcnmCQUjelAPIvrValCYED+JKf6
POagwKxJAhrCd84byrxeXEFqeldK5+swopixEI3llbILmuQDv6DfdEW7bexy05T861AojywAj3N4
JbHY1p0NVzh9cbvkNWo4fHtFXSW1ve9iwJpm64TrxqoPc8OWxAbREEvESQlqt3HmeSbvFyWQZnzo
aoG/27Tv4iTkf8wB3qMtjutMrAy1QILGx25L5faFCmwfj4VfUelgc7MOs1nIdYda3aocNMrDk9D5
5uWInztg0oRQb6vL9s0I3afQDoh2gfGr2hLOcf4odC48F4gKIz7pTY5+xoz2UA8DCpxGjWmoq0sZ
u0eASRgvreq2U8issRNTIC+W264YkeIsw1MxSALSoSI0UoZ+HPDRyWc8geDR72Rf8ac5xH9H1J0A
SuKNkutL9VDvbT06DFPyNRJm7IeDcz2JZFvM28ZNPQ2Qx5R7Yjw6SnofZUsuhWHINc7ZbZL0JTNZ
Chl9ftWdgTVY+OpYrOo0ZgJKoEa8WdVLUbAtHLUhMbmI+/qKjw/LDpSEbJAeBdRICM7At+qNg8I6
22nkP/Rt6gWOXt7kVi2ntZrHFmBmOJHKU9QXhbqGOdXUB2yCg0TqN5DvzjK7V6abiXcnV81Y8YwA
w1k420PsOW56KAaV3wL+6gqZzXZm07WqC8VX7IS4qFQZ/NgoPGAenRf0xTPpFfMmd3qodVMoNjgr
HvQ6vxsM0GuNbnytkvrJiG1zJSm8lIBdr2u6+8g2XuCuXsZlGxwte+Fo2RBTdzVr4twrdD3sjxW0
YFwn7JTTZbvcLHvmXlveO2rzziWmyI1g1AgDDYHhja197llWuyytmci4q5w1tnAnDzbVUSz77bIo
X7lbJgKisnXKCrxZduFtp37My3Z8XvbkU+/sDBbnsPAjijzygGgl2LWwXbeC/L0e5E5f9u7msoGH
bnY0quxWA0uSLzt6pAnDjnP36LK+t9ltrgn0aXZdzyd62fE337b9y96/QQBQL0qAGUlAuWgDXJF+
SSuWeNF1ClkjIfZ+GPU9Cn995Tr9Ga8CicRoDqSZvJeLCCEUwP9RJRShejbdyUdJfja0awt1ojJX
pGegZOiRNKTINlokDq3dPrAUxlmI+MGptyNSCIyUa+re84REIi6ZeC+aCR3xxLyoKBLkFPyCD9Gi
ZrKpBTfRorngVPhiLCoMObN8LRBmjItCo/mm1ZDzaVjUGxUyjrJXsTqmN/haXtJF59ED25QIPzIE
IPEiBFkUIf819N80TAZTnb9v6O9ecpLt1nU3/1XFtHzl96ZeE/TnMLjIrGDc/Y1S/aOp17BaIZig
ugTgbNl81Z9NPU6qZbDM+Idu/2dpufUJLTWcaFtQwDM9/1fScu1bjPyfQ8xFWs4Yy4HWwZCJSkf/
bYjpBgpmceSg1/lI2IFY9pe1lhHUNeZPca07dHdsORtiqddZamPVMdt9ZYqvfaFyMEg5HNgg6SsZ
UW62arcLwc1jUzI53LmzirxLfPZZm8ROXocASzLrGcrIHCM7uOt8Yy9bWqWc3EtUyQdz2eJSiKPX
Y7HLNuchDFsqjviJJeS9lHF+bYtAQdosEL/GbN1UvMwHmUVPAe6ZTeq6N05Kbg3xHB9CqTs/1JTh
Pq/cncUSOSlJSFPHfKM0420lhuuxKLM9wK5zn7OPMaqtqTbYkc3xKO36LuL4YJNZnBqTVjdsdYK1
3GgdhM3bFKPeLcKw39jzBJk7RjEaV3cGp0I0gtd02e80dR3v+8z+IgQhBsM4EJTL5sqZUUqx5Fp3
IzuzAnTwmHaRl9VEd4N+Djhldoj9eWm6uL/K4jldSTM8u2V8cJ20Ys8KwrpV3pMkc8EwQqihX90O
8xATDmBDQOpTbEnUw6uOFJ4ucy7kXuB4acU6405Zta1+m5T2bdG8a07x1ebbdRMvWYwJZh2J5iXq
8PE3wSIet1svAQC5gsMkVlBFVtxlCFUyA7HQ1CzpJLfIzYtLJcWpGpNxo1aiRGKBBhtLhbadNe3e
mDmo055+XzEfGGm6h6pPdqndxp5VBWe1KeGMB6nPIvmqKVrQ5IXXZuqWpa9fjAj4ufyfXKMxtvlI
9FPQyAiJZuXPsX2aqulZK6Rv5P0XynK2yXp/C0UYyuo8fPCTx82oZx89pf91XnAjV2K6JKOjw8KK
Tm6nBMder19prHEG1kLbg2W1vkSKtDeV3bnmZsqRwKqzb6YUlTVlxTnsFftQhkVzMzb4uFf2hJ2J
F6iiVrWcd6d0hkNv6qwzbb8uiefD6z+Z+uDpQf3Zxem/Niag42nJj2gopLp0Vw8EKXcmL7FD2Iwi
o/lBLwtKO20a1gjH75zKQt40fSwhfR7Um9uMVLsri55rlv1Z464ULqs/EiZnbuHoPZlLd98W9vu4
NFqskFlO9GwoCtHctFXBS1yfglR1PLseykNh12sZI1aoUvBzxWzwhDvdSsBd8IqRoJJ8CCdY8cHX
rGRCwmqfcqRVr/uoK9ZWZ2iQj7KrSsvVzaxaFclzxNpw3VJOHoZEazzK2M8JjRRtRtseI0NRT/pQ
mx+qGqT3BfOLHXE7MKhoZuAM/Xc7fbudFjfv399Op4/67eP9rzfT8lU/bib1E59BlUHuj+vnx80k
Pmk4oQxqQ1tYtsvm68+byYLxvLDbheWSxcQQ+LvE1vqE/1a33WUrQqoKdMt/IbHVtF+Xt8vNhG95
MVHZroOa/3eigK5oiGaqNL0WqtHWByZoqONj1DHKk1Ok9rCR32rwrkqqG0HGUafJ/VzL3bjfq0Gy
zWn+o0FbJRTz0VLVl5T3KHnrK3XMiug5CJNxZbU5Gfamoa1lE1xPKZeYmch2V2omUZ6MmhlgXo9K
1qPa1F4CiKBrs06vSnW+5BboDrzMj4wZtphjZuQ84+OsDu84pG7hBfAN9LnchaPp9+z5d0bj3rRh
ws2J0AMe8aJKpZMugfACgJEXxQCw2AIvXCgj104R3MC2WbpRTDohHlMC7RzEqkD4ZDrsFsSbUcJ4
Hgp8on1CvnxB2PjGNY1kV+rkHLggkBmJBNZGVtFzl1Ytgx9mhWEapJTBKlqSiIuhU3Sge4PVRjsI
XaG6wn5g05IhVAGkpmS7KAJ2nwJW22KNzq7UCs+03drjk9XXVKOIelbNGJvXsaNpKFlicZ4m41CN
hnaJ8oK1QENHYVV2u63jpPGjQmLhwH8JmD5xngK3InpA0wnKjmpIJwg6YGqkARw0UZPVg8Lwyilr
TjYJ6Dfkd8ir+GDYiiX2btooqa8tCrLJTsWrqHTD66CA2FWSnCLMBV3gUJZAdYxyPEdGOPuqKZE7
ujW4kMX6otfpR1Z0T1WTHgtVDT2mVdsMLPKayuxUu8oJNRoPErETZpndjhEeMq3+rCnpMRniYlVp
8h53NELHyHkzaIi10D7nciTxNmrt9MIUDLGjTr4RJEMzSuYT+30od+mwSUt03LoB5TKdon0nGQiM
QZHTdWrORs7h2zyCeQnUAneTu1hpJOJZE7Dn2qjNN1YkiKkNNaXlbOEpEmbQCcz1kpppbEdvanPT
izEeQ+tG8RIEjKmtgVGUahY7JYSshAZmM8b8LxO+byTcjY2JZk3rl68y0yUOezb67RTF5KiP6tk2
gbCmOIBWU5ni1IC8jfQNA74JVTVGs7dSpfbFGqHrBVNxN9gjEMdp4MLOG5urBcFM7FAYqYZLOpD9
IYPwHRXgornL1vikWpLRkktn5thxe20jMOvTKE1yUwjQsXkxuL7Do68KI/RytW5DL0ApiQKKG4ug
3IQ4tEPetMX9f/fHt/tD5eD++/tjm33k+V+vj+WLflwfgkaEDACDBB7ugZ9DezTtEy2LwX/Yvms4
Mf68PjDaqrzFP0yz/NP364PwAEfje/F/FlGQ9e+STC2+00/qDK4PduffehvNAc+8fLtf1Bmwh21t
7Bz3WpP1RHsv5nJbfwte1pU80jZmxJH/BRNafaN/i2mGapqvZ6KbrcQ91jmfADD4rynOsYlRaK+1
oT8ZBlahUkcPSkj1vM9Hvdp0vXvDEu5rRkg03HmHYZ+2VWzOwga0qFltIXdunZzpWanslDh7NWti
chbad5gMNylKd66h2mObtbNVDfsARbrO+RS7BZz1ZNoCaTtrzHdjTWXAGJmIyNVpNwnEALkiXkGB
IprrzX0NHrU0bC7B4Y1pz4nY7MzcBERQf3ZJR4N2niKBKz7qyUGeh0oxcduJWQ/M4Bm3G4wklKS9
2FVtgUiQpdvQquQf60q9KaWd79GM8NfmwFSbYn5iH3pyZiHZtjTaqk6NeqOx8IwMbZvoXejXqc5g
sg7hhg7ixUmBMTXgtiqDHkUU3WcJxbZLEnYaxfU40W0oJCD4stFKDF35fohtmyOjoWMEN+Wpg9HT
bjrFFkyq7rHZk2vqE3hS0400031D7CDxrsn7JHuHoy03mKIFuGUNGpdweiF4fUCmLb62mnIQfbcf
2umY4PdiKMrYuSewjB1yN0BgF4k3GeweR6s9zmn2IZV8eOb9vGrNL7O0TkbcLDaQS1YlB9UK7oYm
adfImJPGg8pURUekJx1DOoj94arMqDUIOWtTtzqPoWnvs8YxmGf10TYGhDGuAJG4J27b6EBqEXYh
Jjt7XpdS3RgIDrdoM9y7ICXclmQKAS+0Klh29pgMtvgxjcyDfBFuASxA6LDzWjvS0HUUSJazU2ZS
xf87Dr8dh0sd+/fH4emljv+H43D5oh/HIcMcFEecOagxsG3zTz+qaf0T/jVqWJOimd0l//S9mkbx
AV5JR66Gu99WdUQ+349D+5MjSDYDFc8pC9dH/KtqWixSx1/mPDYDKDJbIBPyW/ANfz0OyWJkBqSQ
Z6jL6LHSs5bHaVpUpVXliVn69Jhb+Lp7c8LkNLqPssD6pXbosKVr3SeOcdKLdi+ThGgmJ2g822Zj
v4lhbjxkhSs2habehEpe79shDlkxZonyqmWFZJLPHiG6sgOsQmtz8TJYzCF2TYtCQRL2cKPmYDuK
zrobUowVDktz+AUcabnulRHTj2os7qdJeSzM/EEvzG6lahS7aj3sLWXC6uwcqFepHpu3Gi2HmVJB
hPjUy0S7uI7yqPVNjnZZF6ugTU99ySCrC/KvU42bM4J9AFo39LR6Ifxq4zVTgJcqS7Cu9zqEqyJ6
rwY5M9kKWIUg/Q3Vli1OEQmfVE4bxo5iTPthLJR1NIRXorOvdWTsgMOuZgoYkC82q5oIL7PWX9V9
+RSp7mfFsNkrZPoNKWWb1pSPaTwjBUnmhxYNed+JElcK7U1ZfMXm5/WQ1d2u7Fc9rvgylHshp8e0
6a6Uov+q1uYEoWQirULXO0DMfY/hHq2znqW7qiE6Wo+sNZN9unSuDxaakXOtTeW0nqcqXRNNCQWd
CMh2uSEKpMLsfydl46TpTDIsRmRLtd+iCZqKLqZtu2jbkcWsc0fbkz+167r6Oshg1+is005RVVeI
eS2rk1vqQg5XNmd7YCbrpjFPVPVksBY0CVHe+4YavKZoSdCJI70g5iPJxxe0y6g22NHAWGR3jkl8
iHoLbqfyotYkWNc9o0YBm0Y07gfdmnNCpge0W0WAoXWRBT5CJ5AlX2Z3FLxai3tMgEbCJQEOYsaD
BCJ9ZuWWGZusB6kspdjmiyMu4/k/d7GztRVjD/Dlkb55p3ba49AzOAujRvXaRhNnJC7JscwL9r4E
TW8ik+4n6FGPoMY2qOaVYDuhrjyXo67dxBrr9Tjtty4zDsycB5mSETNW2osDBxg+8xRfk9KGOMY0
/MmRfteSN0cCe7Y2h/x1alBy9/FzEVIHuG26CaE8QOKeSN0zFn263P50qF3+OA1+jof7Tfu5RLFx
2piIpTHQonD8TWda6iPXvuKK60w+pMY7qMhB7v/1j2CobWGa5YxkU/xbVTaV4diQ+G5cp81rl16m
8j7//2rj/xSGAl32399RO2xLGE/bv1bty9f9uKb0T4uGkGQ423K5VHj9f1xTBpFfhH3pOKoNsMR/
Dn0MwsCQ/Zkq0nCVrA/M09+vKYMhkirASf+pTPwXQ59fH0DwNgSKMFlaLj7gx2SM/XpJtd00APAw
h0unHvi4JxNT6n94xv/gFv95E/JXMPNidYJJ3NQs+I6/mQJYC+hk/TTlRR+g+zYrw2zgeUa6luuX
SK0ratTCGtObuYgt54zR0H6mitXSG1rnaR2pctQOmlWSpVTsq2g8xkGGIyTezLFAkjPrNNzZJTAV
LyuU/dS4O6Uq7loVtOkUic1c2bdj3OyCqWIqIUc/j1vhmUZ1UMrhWnHS12wCGR8EXleW+yRLnpmw
s1CPI8zPzcbRMiwqDWLgsf6KumBbZvHgZVTV27gywM1BFsXkPOyqnnF+ZycPtrOr9GbNn/ccWupe
dSGT6aJkQJN/ZI0bQf8wIMHIjwAAPcCgEmScOjpkDNV+mXXHoLUHz8kXAsSg0UDY6uuSWcBRR2qG
kd/3IjwEmvZQj1SguDifUsk4O5qGt8YyDpNR536VlKc8GgfPrbipzTgw10FR31FzAT4xinYTTvpJ
hrjF20a/yQY3pA/rnpVE92cGCVzMtiTrsf2a2BX6J45VJjzFJS+MK3sgM6UkShv3c5XsLHWk5m7p
PMaky8ky1bh6ezhgRjk/CQzBOm/nquiUW3NQYKpo2f0gXTKRnfQzDkVMlBDFXNEm56wdxBruzaFR
iJVSRcVSxQmPYfumJ4Xvdqgz5KCtjbGiMMjyp2DuGZxX5JYUIe4zhzjPtre3s22+lfFykU349Wzj
zVn2F04Sf3Uke5HQwP9dtS5sQeurEROFUsUfcYVMTzTJLtLqCIWDsy4YD/Za8yqSRCVZDGEmIOo9
FyyavL71Y2chIunwZY2mHTYM2F0qre4CyeOhD7tmrWTtPtKjelGP3jEeIr0Uz+k6D+C1GOSv9XRp
89JBuE5yp+nLvgZ38uj2T6nKzjyerK9J4n4xRfptpqr7OhO6lUKQxCnHFr4Ok5hCw1Qfwqm6yw2z
PESpTviQbXtREQ08rDjFMQiCeKoI52YXhiJw/pxaAXRkesw+yT8MMVh+X6sPaZihFCA2elScGJZL
i4JM+doqzmfFmYB4pNHa1gW6YKZl7swCziKvttWndF9+4+qSAFsFVAGIRgF0V/dmOHBHW2zFSsLr
HlKk7ntzhuJv6cN9VWn0SeWHhGgVp2VG8nr5ztgZYSgyMZgo6NnSob0iNSF5MozWy6wAH7/1SPE7
Mh3DnC8pBmJFua27xF26YcInvECSVtcT+a7YVNC1W+LUyEimQFS1DvVyOxb6yWhMybxAYVbQrLFF
qkvA+Lkp7OfIMT9idaxYtzE6NWbhy6xc99F0xcjlRcGkCCWA9Pbuc9gZZGDP+m2diw2Z57eF0PeD
UG6nyfYsJXwk9+Vz45isftQrdwgv7IAvk4xOc9P6MxLTwJ3ekUtQBNqJlzYUGZL9alphy25qZnLo
7OqyP9uL97lKWSPCs0KnPKwKl5F64iioJZXrqa0fZeymm0BrPpqW5JZqfFKaD7PjSewt29eNxJaM
Agd87m4wMGhJuklRNiqD20c77MdtVdXaOgmJnjedsi3Pqa4/y8Ig1nyuNnafhyQzJpxb0AGMkgga
c9a3QAjrtZMxO3B0quiq8et2eB6G7LGplM+Qq/QbopTnCxde5ddZ9VJpYh/V+vsYONfVPJ3dzGWa
KNGRsW8WXkxrs1aSLPYl7rl7QzrTKZTRXRyGr4lWK+sB3sVVjVSDgUgLTjlH6Wm0hN9pvItDdB/H
ReK5unLo+ua5E8WM0I9kpWBBZJf8fqs+5u5ZuylnQKdkltd0Ja7G1lHucb6il5zcYYmoQshCfiCz
8YZdW2vLHZ9mx6uy1jOsvt/1oh22aMOwk9KmbQeCOphIEB4YtmhmEcGZpA+5Yse85WKm7W1Dtg/y
kG3SL0MUJXgjnS4B2STuGQc912K8C83a2oOvfy6WqA/m5ME/JA9TPPzUfn67dKHTkrluOUgXzKUH
/tkrRexPSTBA1V0Kh/x1cZ049xa/tclEK/knrPKvVcTys5hGUsSKhcuC/WGZDP7k/2maYmy1oRku
Dpk96WPFTl55/Km0+r9Uyr/9iOVX+OlHDFmVZUOXDZeSD+YEaC9iAV3+gwPof/w7aNZVODfUWEvV
9fMPaaI0HZN8GC56fV8Vx1E5K/0/lON/fVt4qX76Eb9V/C0aylAY43AxnDvJTl227KOuc/slmf7h
J2FD+e0B+PUnLb/JT69YFvUm2UH8MXA2VyJHLK4dOol0adPLw0wX9b+/Qb8uD/94BqAG4Z0ig89l
wfnrj2PPNs41SBCmdM8CdYNt3YfR1ST/m4f9kW+yVMV/32vcd0XWyfzjr73G8nXfew2omthy+PxZ
uPAcTeWffvQa6ieCblgtY2liU7zom/4ciUGLJsZEaH80KDz1f47Eft89/4teg6jx3x9J2l3ET5Zg
68Cy4neHnejNWgKol9dQyQ6cJiujLwiPSnNvJojB75nLESOenYi5T32TLAAVR0SMIjDqlD0DLs8d
tJsch3WniwMpIy9pB9uvWbSO7WmcxTF0jd0cWVA3sAqsIzv83EzZTR9AZLCkfMG8Bcpv0VsGHI/r
GeAj+cKYsrM0aqjE2/yp0CMgTIVzzHV5ISOFCo2AE/gryrp201dk274eiEs0FtclgF8qnOR5EIxM
ity6dsyq87QutVepGOLrzire8REjOx6jdj2jqmebngomfs6xbe29HrDKnMaPyZhPjeG+ZgGEnKkv
UByFWyjSVxZ3LkAM69os7EPWktfnRuaDTlDRXLRfhsjym54Vbi1AIwyucyHg4iqTxXUypGcSG/xS
EQE6F4RKiZ0h96iVJ2C/sO5JnVXN5EiK7shimirHTdt9vkBMJdeyH1mu9BXqzxFhMpQliDt4dsrq
BlW0L1NcYra4xgvsd/p4y1oE11KCf4xJni4A3WTKc28EgCFU3+o6kIc96BQ9k6/x1D2UCuYSSSVE
jZqcp56XrkqZSY7BiMfLko+VsUfq5Cw+oRB0aGVjNFEdPxiY/UnTGtZT199RBm7477EfW03mtVX+
2PFrBNU8r9NYGYmGwPIRo/OtHbEu1Omq6nkfkoSLAxRB5hWTo0Iv0W9jp7gahuAdskyyii3r3iis
W4UV21ppraMrSVTsTJukvpKVVFxHt4oZ7M2kNY5gS7AFV8m9E+RvjopLOJA3qPLemYY9hi73LEw0
6MP8UbsyEMyclABFeDGGa1vTKNAWCZgdEA0TpyAaOm8mbNac060KKiDV9GyTd+O00ZruwzHNkkJk
8dDY5XNRyI0ryuwYwdheVxlYjW8r2XwUzUpv2HAQjSNWBHhgxhBueUIwR1phir2qc9aGmuCjihXB
OMtxAJKAFs9q0smKMTsKmSKqaJ5jyz6y7rvN+4INW+xiGxPzjGUs6Yh9ZGbqTjlPpq59KfPqzul5
402chZM5n9UueA96RXh6b966pXPbDQEuOBpPEQR7O1UcorbJt0aN6Y/Eda9rweqIzCEKtgE1e1LV
/VqZp5eQCJk10B4ydXhFV61SH1p8empqbcSEDURkEi00hKp41uSG3BlEFSICOtiH84uSTi9tzxU0
9vdpJkhgcS6ppuHwCpFbDRrVmB4rj4QJ5quWpL1obv1o6q1DHFfDqiRhjredKWausMkK5HSgdyAR
tTRWKRMVT1OMD21sThlsFLgf9L3OlG9Ifn6BCrnD+WiuwQcgV7dpZaeBxdpUF91Kq4Y75A4FlF9s
TYEWugyRLX6fHhLm0PEE8v//qmW4piYzC1YpwnLm1spthYS7kTwShiVj9GP2Q1lX54Y7fqUJ46Ms
1Wsb4XqTjNYKlo9BVgxifEvgrFHn+hgI4luhc3uSV/yqwk29SnOeJhjDnw2ZFX4BNN8LY4feoacn
J5xnFyBw3xE+9FJZcbF1ORqNNPYrvWPwHhmnuY2um0yXKyY/jjfF+t2QSPYABtrERt0mtXEPsMYn
dfIOfIgGXRihqVrYL8QEHEorOmj8cfAjUaRTkj5AeBLrAIr4JktAt9cmDzWj28+9NX+u2+oWx1e4
CzOFLlN0aHlQoBhtd1c6+CTqlPdXV8i4XZa4Ayo4WKP1a1JnHBXluojcaw66bVgBMdOM5n4KhsdU
a5/qytFB5XRPhkvIt0D85Kmqxh6hSXovdiITTxndUxESRJfR5dVNcpdb+nYuu8ILUvF5SEeMT2SL
mxmZOlgLFt2mtXJr7bG3bobmMAfPQ3xlRPoNFqoV+6DHRJEPMQ2KJfJ2a+XFWSsLetFMNKyhrQ/B
QU8wkXsBVMVHm+H2TjFJJLStOd7QdkHyMuAeusOxQRvTu9rOHpFKjdDr50ncYTO7igrKvTjsniDG
Jyu1ag9Ve+4XeJTZ4bK06UgnkAaskGJIiTWOqzp+EtO8zbI6OcKiEmTs1id3shWfwE18m+1I6wLu
Y9WUYHsx7W6GMjyYrHpoyx04eaIIXdA6HcHlxlh8YL6NTkPeMgIKObHtp6SQw7ZuY9rGdmkCCXmJ
1xFierScrFZDh0z1GJMS59chIMPhGihjca3OCqHpTWvsezs6Z3XkOC+dMU3beaRnjUpW41weie9W
oS9NcdJKc89pdLACHh3gG6u6Je5TqQ39ETAfJ0TPwhqX4S6qjLNhNPC7I/WDAIKPYApfuXLg1kQj
Pj/Fkw45iqnKn87v2Oii8NIxexuJXFqZYbTV1EQjylzneAit52gESzcxwdoMVbSpRFMABpt9q1cW
1Jt1FfJil6+tehBGcJsG9k4hQ+Ec1yyuyjFYx50k2CpTH3j5ucVF9lGOyaFH1eSX1XhTN9Y2cYhz
N3U79/MR+dFUkyoWQ5NaiWp4ztuRdNbszsQIbWXmg3Sry1Ql7cqaU4IELL+Os0vP52RFl+aLtry3
C+ONw/UCKS4nr4xHIMZKxJTW54ATW6Y5XNmiOaPZgCA1i11utRpZn/LadhF2pHCn4b6l06YeW56H
IcxAteGpq61mI8cMuYZlkMVUaC9zg7krI7TLjglXxbNypsh9ruvyONqZvS6kshEg+83B+czV4veD
dss0+IpP7s7WGM9UQ/RQzg0rmDg7DYKrNsWEFbRXQVY8maV4HgISjUn6fWq0kbg05ntD7GJFURhb
uGb4KCcUFkLJ9nN8qI36NIahXzJU9Vg83URmyR2tWA+s+k4z2kLMRa+ZYRKoyki30adjD05pN9VT
u8lH6ySFQ9iY5CBUoi3GIsurTAPenHYc1Jl5la6TEkFoqjVbT8kg5UUP1NkLmTWQmlFrXh+hqes7
t1wPMC7wdOfA4Bsc5s5c7xpDY2ylJq82APO1M3YXu2z0rVv3xTZ0m+Yoq3paA4W+yqA0cigF2xRX
8taVA+lSGjNjRipAzYx7q1UOVmzLrRUVe5dqq8Q9pCcYcXoIvn90ff+tfgTCgL9vx/ay/Kjjl+yv
7djydT/aMfY71HjkLP4hymIs8r0dE9YnodKpMZtZoLYGX/W9HWNfpAPaZRfDFxIPwuDmezumfbKW
lHkwKzRPmE//ld4XXMUv7RhUIxwopkabyJCIb4h8+JcJgc32OB+VaiI9ng++LxCo26fSJrPxqzrP
ucnkuyXRBnEU9vR5V1hpOhDiAflsQwQD9eQihHfAaO9q0YMExK/wRkZMsy7c4IWAyDt0r/LC1jiC
C29R8prkELPXak4wP79ygjMAlSj6iXyNfbzA+sZu4nqDatJGrirM44xxC4xU1rJ9wTQ9rUcLhESS
hPUZNS3+fbyQGPnTKx7s3CPBZ/Jrk+UCImYw/YQvrsl6BE0ARuNs9NOB8PHj/2PvvJrjNtIo+ovg
AhpohNcZTOYwUyL5gqIoEjmjkX79HtCWLcv2Vuldj7vyMAwH3V+491y37IJTHtNgppqHxQw9msuq
w85ofYgzGD0Hq3XHDVMzcoff50CcHBlQ1q4iC9DSnjKGaZU9FkcnUveGHenMnjEMYkysyD+ftMsm
sV+HgsqhLh1jR3DQ+5wkz7gPwaJbvQEjLXCCiwq43QOm2wCXfHQOWxMRUpS8deEsnthCACQAkbHt
7az2nTbjJEYaAXvWK7wTfHhjYw+6dkSPrF/ImFoijgSRYY2yLxrHuXGzMLljMXUYouleqxCYllZh
7XS3vHFs3NNkVxZQRi0YcyVLtTmlX7D0AQ3IlGoXRqQWm0UTyae+Aogc6GZ66gLuOBKjNYqi1dw0
dgO7BrOxAAZyngxWKChDjQByQcJX8taup4FZdT1sGgKxFXdzN4l7TagsPgiIeMemL7yrGI58TT/q
4tD0eBOCKw+zJmbJ1HvvDS+9EHArjDCf76yesan/8dD+Or0Ej/J/n17QwP8FjLO85s+TCy2UKRDX
S/Et8fbPk8tjkIRkGoutzZBUMgf8dnK5v4EyEjoTJnKQkFgxcfx2cjkfJyHxZjbcHF72Ux46Ump/
OLlYjbvE5C5rcBuJ5o/4pHZG/KKksi9DE5BqTRdYtavSpbLztTHsEffMgRIIc4SN190FoVOeJz1v
1Uah71xFndSzs6tiHWgslZZNxjYMCSh8gcZ+x9tAvaZyMedBZuj9u0SF4G9yDRCUHrKGXaWO5lWH
1mqWOoOx1XijEmIBHKBr4daRLC4Ubj7kPzEKFXPfFVzZbdtDAFliU5uYpAgVau02UPp9UohzU9jZ
poT/HEz6LSKVBWvAkphIsVNV5qeiDi5gHX6aWoo+gk+DVVVh964OWR4G0EKQacd2QtnrQI7JRoiS
sYsWCHQJYMcR5ajjXcMCoNEPTWgwLWvBcSFoeRxuABaOTTF9FYuGPVb9YzdipjJCJmMxKFHWHddt
WUzbwQaSaCsC1oK+7sBqzqOfdnYGgbWYN5Ns5MrVxUaXavITZdTrwe2/atZIrGiMPmtJuckD4+s4
splTst0mZE3Eku0cx9RF4iJCjZvmk5JTvk5q+huVKhIyEKbPpXmnMUqqHSVAOgSASaEFBE1QHawo
BWthlZeJKG/relgHTnWK0bRFjPFXvcu14dSbSWVfrAnsSRP1fmfqqz5LfXJOkd3Rx1j0M83S2CxI
vpVYmh0yVtOtuzRAmskudGmJSNxILujvgceEn1VRJOt0aaDICYl9zQ6vRwd6hOV1a4OGq1e0DbXe
fA6XXmxO5WmiOevCcWMv3VpCpG1aJLch0WyxBBqx9HX20uEFS69XLV1fQ5W91mkEMQ84ZJeZb+XS
IxpLtyhpG+XSP0Y0koWZPjg0ljnNQ1nVV1pE9rKztKLWR1NKd5pk+SeYG/5Eaa5080lf+legAbt+
yO7GVB6KpcO1A9rj6KPrXfrfeemEq6phjrN0x9EwfC4cJh8JjfNIA23QSFst12xIa13QYietZJNH
TIfsvoxLD96ySEEPkXJ/0qCXS6du0rKDHUmhldPFo3c8hEtfX9PgKxr91A2f66Xzp5/ljlqmASzQ
DEZW6qFfJgXGMjMoGR6QcHPUHe+l+JgqLPMFwaCBoFbg3gweGEBoJq478LX0xuadtcwoXIQkKyA+
YGusMx2htjYZaIxx9jm2yCMsGHXk4TzuU4YfapmCaBHzkGKZjGDuKbek8xC4x9SE8GRinJdJiqcj
7GadBGqUKUtsE+m0zF2CZQLjMmymuwAz0U5XBkOaZpnWlIxtKsY3ZR1ERySQCFmM8Y2ImFvCBJyV
Te3FYIv5TztP70PPVd0vs6EgFBZUJ+xF1TI5ypYZEiPsOztI+ehgEWPgTORaWcX0CFMp16jm92k4
vtgRw6nOLorNaHvnhYhjMLrCsIsAdMyQbKdIR2Tn0PPr781gnbC27qe5fCqcUGzsqAYJAUuqGo2T
Tmu2dUeNyGxl31qjsA5hl4MmTzhKDJGcjTQ/TnO0g4h9IpbyJiEuO8+SQ9TVd0FUv3cjjshiaC6m
Mriyteq+ciPGcBPjeD0K7ZPHucjZiCGnzygFSzXskrT8XJRwyp0BAgX4FMYPhA0PIWyyuB8+eS3B
MqrUeKaLii8epzDPOpPHcdymSukArEE2eqMAZzuB8RrehmaitpFIYQuIQpGdP40LYsiANZQt0CGQ
D5+aBUNkwiMSlnyLQmaBU+qwA4BZpLflqwfDaIZl1C9Qowq6UbVgjgbLQGmzoI+MBYJU5851D1ol
ZFtAYTRo5Ob2lxJyEr8qs77oijht0PULXAmHK5EymXPhoJz2I5JS1IJiwko1HqyFzlQFj5HjzbsG
blPOnpWoFlBOxgJ1YuP8YC6YJ3sBPg1jg+30V4/3+8pt0eL9d5V0KKZ/qZKW1/xZJcnfbAoQz/mr
3vmzSqIW8pgWslYzHQTo1FbfqqSlFMK/Q1HB1o0YWf7pW5UkiUxBJMdwShBk99OGnL+HHUt22B5K
d34GwU9BoPAPG2AzykA39053mad2tC3LDMR6mSOAuplEP0Nsib0omO2NFfV6hJu5xyMnjU6gLTeJ
Ux0wTscmRmM3rid2SsjwuePVsFz1xmjXiuFeFpk7w0GSRP9gZXELFiogPMHXAq8seEpwK187SnlN
4Tt61VunUcqhJZ9Vq5P2xZm7hlqtIyWsheTy+4fXgMq2S9rKQ92sgxkfGzZEw2A91ERSpm4MQprH
Q66sNEEPVw/9KZ5ArcH8Ky4dxrm3hp0OX/RCyoqsuSj80lvNyCms58sJXaK/KoPLREMATO5YtMdw
RfCzCwIBT6sIDtCFhnNaOAO5KH3nU2a8lwPkQrg1onlxY7woWWcJtY4CSWYXq6B7MdRgcKJCvrpz
5u36KBuQrYXseuZ4l+EyvXVnHfL3AgDMlD5a4Kmw2ciugypn69NlozcJ5xVeTasyoLG0LVl0aAbN
L/yZun3NHInxWeUZvudF4hmT63wdzRy8q1Qo8SVlOXFSNWEbE56YR1O25NoIAaSqQm0zu7m6Uip9
5S0tDtTKTOTbWM/AVJOUbjEwY4ZfRpdTnoZ+OMn4UsZtu/M80keS2XMv5xp5S15T83hT3qwj3D2v
LAeyC7Kp2k8qL9W2xQ0PpD4WZ6jQGUS+iLjWyWNjZ4y1fYOKTdvSIbbXZmxWPkCa8gTTqj+1bXoE
DUX96GrutpbT+D5YUbZ3qzw8jmWMdVEmjnaOA4Ic8rjNynU5AcjrOhrdenLxAYesiC1mZqtRNmzU
ZuEFx6zR7E9o8T4TeiguhAZsgx8/2Gppbp3bUsDOahr9istqJAhgSA5hDA6pJEoPjVg13UaNO/h9
O1A7xmokpXgOtm3dtqH/q//83dzzf8UMp7fm37w93wsZHCZd7CalveBxP47PbycrIVVQsw0GVzrN
5N8YLhyfH0pmQ/+guyxi5m8nq8XJCs9Vx0NsE3GCQfInhAwf7eVfgmacjh6iKgPZNENo0KzOD/hu
x6hCjCZzd+m0DoGMfYwt241E5ju15e2c3n3B1z1s60pG7CrnxNKOeesqQIBOLJKnWAAMvIqCUtUH
vG0VHY9KMPtWmlTOdYU+dLguhuqyokC9h/BFNltkzg7pcHPLaCdKns0Mvv9UTOGOICzO6xARWTBh
2uWIF9YcbbuPT2stx0YdrEDLyQk0Oidrn/KICL4Kn/lMeoxvKruN260ARWMcQcvM5V04MwJC2hwk
aDzLsNl5ZogT0oFKNvad7TflkJD/MNWsOwJj16eYMoaxnncsZptPM4wKuhv46fPGbAmz8ifhzeMm
U+DKmC0GGj49q9KgK1azfVZTGxF8JUr7jt37Yjt2KvBlWEl3RhWl3V1qZqRh2ghCrkZ6ebGrHf73
FLbl4zxYHvoLkgJZaI9R6RxAqZr65tcj+vGILoOb/y5+ntSXl38Ot5fXfCt+wCzpPJjAlKhZGPsg
KPrzETV+48lE1UuF8wNmieGR6eHZY2izPLzfP6LuAlxeMgNQEzLaRqH0E48oNokfR0QE0oHSAEru
cIwYP1prso7Z9ViO+lWXAHHzCrmzMdaehKYW8blR3UjCaPeqsDwge0FLeRQbqOGt4yIGXQ0FYmCu
H3nRNHBUCLYGzzbYtMz0Ce5YnRuil6pet1CpvBp9CuwxB4xmqyWOazh4gbulxdT9Kg53qg1Ilefu
pIuxHoai2VtxVNzXIYLwsKpebVTLpaoeGsOq1lZuxiQF1a/ZRMdTtkCJKX72AARHCJFlVNxgCt4Z
iWVda6Z9CuzB23SDzlRk0AIoMA1A5owNYNC9OCp8DXJgfNRyOor/qj64YNQZS2u3XeZmJJQBmsrt
yFtlJjVdMKEeD7AKrUOMrMxDJmROmIwbz/zaxjb7svrS7WL2e1H6GAvzviu9ytcS8ValctwwbHpg
pruJCe9WNsEPOavDoPa+EqderJKIhtQbbwo9ObeQNPIiPFFd3BuQkcjmIc+yEfp95bBZnfkjdBBB
1xlO6rXo5MukKBk5ah/dAd0QQzBjVZOHN1j69eI39iOSWmNvAerlAzSgadKJwSsqvHoVhuHi0p3j
Uz+V4cFMWiYNHueFZA4HuwS+MJP/BM41Gfec33M6wsLTFCA6SvgGrGnWpnu3bIi6Klr3yhPVtCNc
TqxYPR8gY3iM7ps3UfcoAWYnvNFUSqcYS7rEPr2sJ/GelXKC3GmXuh8lwrtk4xqui2LJ2Etl6GNH
TLdFRvJvmJZXEfKstZ65V4NWgt8mQZtU9vI9Ty3W78YSmCYuofwVKOBmNDEx1CtD0TEbUtslI4aI
3lDPdhV9IjdKwVLz1sTyIa/D5LxqQ97cDKEdiMX5kxNPKHLKL0wQdwpd79EqtBvDrd7Rx21UNO5U
jQ+i4FBf611jHlhEHCo7P46d3FihCRkyvbJMNeLF8EjfK5PP+hA8yFxr91iv4dlrzgPQCMmPLS6C
SrSoktCC1TUzDaXrt/nUHXUCr+o0uY0R/tsqexr05ov0UFkbqdH6U9tfug0YxsYekCzpxVm6vLmS
25QBgbWzdRgdUBJTvwidC702XiG0Agrvps+VKdSqN6pt1S4Kug5Y4DT2hxRo67ov9MshG75EvNfY
iKpgXdhxDXKxejSL6uxhEbVdMg4jE0mgCF47fdg6Dd4hLRvqNdPXkjhDdWJTUq8n/A3rYpJfu0Ge
h1pgLneTizpAWR/DMlgjOdolUfvsJvUpz4sHI50/GVp7w8/HEsWCzjF452YsMui+yg/nHseOkZ7d
GsyMmvXb1jOfp86rrkKq4nU8auORq1c7IKho/KKPL/q0vrOU9hZV6a1rFxKCAiL6lWXCLw4cvsrM
Fmefs2RuArSJickuPM+ZzejMt13TstcIFuaVVjrpGt4hmjgXDAEj8aukbNE+DmXmBxE+kjEcbxKh
68QP6bQ5xh8BD79WMQb9/X/fs6e4CNt/XrTLi75dtIh6MftJal4DWe+PtbDJKsY2mUIwLWC/+23I
YP9GIrXrOtzNrv1R7/5ZCi9DBqYMDhJh6bCC/inqh0NN/Z3KfCmFWVYToABGxiaky1o2Nd+pzI3A
7CbQavIymjWzeRAekimgoFPOqRxpCvla0or43LopCWa4/IBzDNmNrhHgAgcc8VY8dvG6c/QANKlr
t/UhLxvQRE5P2Dh7AgrXtg2Og5kBwS2zck5vSsIIKkhRthE9j4PoMCeZl5NNtp1VkGAAgw6dUx19
KR04EGLJOWDXHq0Q9qxHIhCw4/FZFwRXDcQjREbwSF9MYEKpJ7Cgs48gBeLyyFRY0hWQLMNW9yO+
qr0u4fYVZ0ub7P1E7Gu85L+KJQkWCSDgoCUdViTzc7jkxXZ2HqyNqti2Iy4zdjv7OtH2yAs7sFLF
F33Jnc2WBFrIvQ8xkbTiDKvvXBJTO5rIT70luTbIgnuDKNu81Dfe1O+S+cbo7Iehbz/bwIQsqN3e
+VfB+1HwLqiH/34Qb+P+Ddr+17d/PozLC/98GJF0oJqA1cbnHVvNX0WvQcsKPQ2EGnM/k+H+Xw+j
9Ru7CAceKQA3tB1Llsi3vhSxh8ArATbnoyv9uaLX49v/7WEE/GPj94FfatvQB+wfHsZIFD1qbZN9
YlnXlXOhZR/beg/JRa77xOmlwIOFmaLXCgy0hIOaAZBOBvLUDp6Ym+nZlSrZ2A/5qB2kLMyzSjUe
FNEWpzzw8rvJLIYrNVrVBS7a8rULu+FI5ZveYSZsTlaZkOzbjc5bIGJrX1pusDWSRoJtA3HzHOl0
FOAyKWyboWJdlu1SYQz+nBXyC1o+410z4/lWtHasQBODkysmlFi66yFSt7EfCgoYqSck7UaQvvJc
Bfci8aJbVWlZdKcnMg1bliNGPR/mKgrIAaA/AXvNhDLEl2opdqBUbshxsHlOg1tOLzT3/U3TGO6g
s5wRFmhFDJKXNqHlm1zGdfKgJbOkaO5Tx4H8ZdfNamhMlgiyn+pnlgzmwepx8UDeFNSP3aqppqPb
VUA+CklYRN948tRXZvOCvBWgJ7jnZfOqt+FKq9FlEhhcmCYCwjY5TBFoQB8g5O1stORmiF6yOXOS
1y7JomNlB+Z8lkndHVxmsv3tnLjGdmokaO91xAdzOOdeNhXa7teJ8HEiGDw//30iXLyk/3IYLK/5
dhiIhUCDlgFiIi2tvpwTf7bAEGg8iysW7QKmku/1Xd6CJ15UEg7/qH/c2t9OA/c3oLjosgwaVxNu
uvdTLfDi6fnbccD1Lm3uZ6w9y5PlLP/+3d2Msol5SF3Iq7TPwhMIujq4G3Hb1HvSNVOEnjQVk2OF
6xq/ahhn2cFqcCxIpcl9GuDdzieBYWzQ0UklmatvR8Ve1mJ7tjKh4bsSY/uQsLRLw+KoEWd1dmYe
ujHD95FT+WOO3Hqz+yaTHiMmOA4fKN4MRgqWajEOp6TItppLsiNDMXXb9e1B9KP9nI0e2+Mk8jZI
PneZXu5nDLyDCCEIF8rX7Wn2W4HbuMibfTcblx5sEpKIbmLTvZpr98Ci9C52MYiW7aMWutWpCMpT
HXmHJrLig+ENj1kXrl0tusuFfED2DpXQpUKwUrNiNh4+MZs+mG61SfTgyfSyFxUBs0E/jCK/64cd
8UT8zJazYsHTr5GzOiun9E61yYI3bQTYreyyBhQPmT8817n10kTdVTcX7x1vNC1luZ7LAepeUB1z
J3UovLs9cmqUFCSoggKlkyzCTQpp3qnIyTWdCSW59ug20c00WOTRd8lBhWxda6edqQsojNwl0MQI
SIZiqME+4okt9o6pe7mWZjNvSRSemTVEr23e0xpX0KLZd+9sLT5mKOB2uSsuCdQU/tBlkb8IMaog
sjZm867sSd/bqe1tkHYhl6PtZmL7ro2s6S3Pu6ozeuU5xl/cO/W927ikKXnZPpXNTRa2e2/xJ+Hy
Widd5axlCPxz1MPpGc3I0Q2trw67Cpb8ibfGu/tk0a+T6PQ86vNNjUUXydfTQDQoUu7o3cktAnWG
1NtULWhHZ9qn7egRiWG0zE+Ht9H1CAgh1xVteLhNhHqFb8kWRZpbp0/JWTf496QhF0RgGvpC2La4
YBuFmi1fgF4d4IrMHxbMF78/6UbTwv4KZEwP3QO0g1fsOuQckRXMX0o42NHZ4RNMvLzjM5vnFcJk
CDNdvEV0S3MdpFhXKCyj/dTrVzMPw83kJs4OB8xwU7GyIfNZHE0zMdeEQWB04jVzXGlXSYhKxxn1
khThHtWKrM2U/f4En8yMxwPefLmSdRkfXXecmTbLYUMoBzm7AJFWet9vB5I7XBLVCVvBWiyMs6mI
M3VAdYPoC/02Sy5rGyWRMD6z1Jvu8I+lT+A6kb/UeXttorMzgqbauB0fyMY2002xJMRaHaUr6CgW
UzyzLuySXS48zXcKHQ/AoPpLNtqbMSy9FSjTcwonKPWgCigEjiuVoecWcfulUdrOAOqzggN9KGxl
ohhxj5pryiOiI9cvF/K1AH/xLJimrySZYkSs4hKzltK5iByySxiSkHycEXvVzfprbYjHJM+Drdfy
3+IhcnfFPHIqpZnclTmjpVZLdCbVdYlOYfn7BnZO9x2cai/aIU+/jHmi1sOsjmBKb6KB31rH52eE
sIwmcxfnQbcpPTINkrlhweW56zHCgGQSAW12kLHIGyF7OJq2eZEzJYst/0NBQPjTyQ0VOcMVJiWZ
PlEL7JTW3s0pzCjsFuhtEDMUNPytamAdqnxJiW92QVXtbdW+ox2ICLkslU99wwOLGVGc3TG/z9sk
u/Ci/rrgHUXaGXubvASdHgKuZSH5mWZoO1jVCQXB21gKA8ZCfuxSAm5DY9yRG3r3q0L4qBDk/1UI
3KvspfmXGmF51bcagbaAaTLrd1NAjcSB+1eNQGMvkUm6MJ8RKCLp/qtjWMDODK51XUKIctnf/9Ux
LO07gvJFKGDh56Wy+IkxOUKAH2qERSNgWLDwFhE6miTKm+9rhDCoqRBY4V7O+BARS6nnZqLTTtPO
4SzJ/KnJPksDSw2inXO87EWlMbTrpuiv87Y8kGWkrVpJKrrX1z4b4FOkkjPJGvAqRHzH6Pcrisd0
DTkN56U2gKQYxLmcGacFuh0CgV5yEPTPw2w/i9Z6xMwzsUrzLKJQdWwoGuFzoCE3OEGiFUCIlRNy
BsdkdUu3eK6m8qGPYij5HSaRwLY/NRTHBdLLjuVvUEwIfLDZmPG5T6OLroyf29Il1Irkr8aUr7Ao
4P7yiwHYj+2dEMxXjfIJ08i0sRKTvAFmGxgsh73rDQ+TqBqEocPWsubOF4mJPmJAjcB5/rXGbO+7
mX3RdvBtCjp3N5Qbmbq3BGR9rVvvOpZohES9IP7CpNsEnDpu1T8yGn8NuvIpqMUVMstXy7K9tUob
QChY+PYt/tuw8vZxBDUpCZ8z0fWbKnORbdqcBkNVvg6Gd6ZH63zSlHAuioXrbJHFBVqjWWMwuOjY
sddWcFHg0+F+abZTOWyB+R1Dz9uHQt5Oc/8eW8mbkzf3JvsKuoxHlHC5ryOCcPkjeTrbgWFAFIXz
qV6JZaVv9+2ZoL/3jKRcP9D0XakHOjLPpIVnJz5boby1uinw0aHeW6F4V8LuD1O8vFwqtWVy/Jhr
at8S17iiit2qTgFxUV2ys+3sqaRV3YpKgdqXZMQRg8GcEh0W+vvF17TVWROuWE3t6i4ql1T7fqUq
/mp5B9tNUKN8REHWs7u1Fy1D0CILDfIa7AEahyZhVSqH+dbhfhgKuVW1Va8JI3T5SlSzejcSDIAL
ENInnzjpDBpoZj7EU8vfMBdVyCUz37Eb5bsW7jYM+m2gq7vZNY+EIHJ3i4wCtg6QU2SgZXu0F105
Prq0zDj5qi+6QURNUQYwTJnQolLc01WSsaFFe73QEl9z0mKt6+WO2mtn6DTDra55+46baWX27hta
zwt3LPsVhVDFeqY72OE0Ictj+xLmI+JCCSAKQSqfRnIwze5Lu7iO9IYEMWvRjuSjLU4WmZM+Wl8v
PGSM7dChpsNnkiObftN8JHDyNpDGKTonxO+BUHVrf+R1OmrJ7rS6isk6vFsMGYaL2A02UWzjPIuj
a7Mew6dYEdCV8RFaWZEVXFYAWZLOVmtYRCtdhnsEbeEdCh8N04Qcb/RMO1JhxuYGF9cy+nOz2R8/
BoLqYzhYfwwKEToxNGwngISMEcnoXgaKiSke04E48DNrFEaONMtkfNjOqx4qhVLXnhpwF8RcAC8K
UkvW2A2FE97rHxtxEfRh4LNgJ2Ov1nM7eMYmgkRUB1GJas8b8ZD+ui4/rstl+vvfDfVd9NJ2L/+c
ry2v+nZdslVmBYzLSSy+KcdmivZ9S83Ija56wdZ93Il/TLuh5S0dOHM0Enz037kXf7TU0PKQ0mGx
+jAkfEzsfuK6lOaP16XkWuarECIk8UfgZ/j7dSmWb17BornWQaqyilLtyrCGT71j00HU2lUFzw7t
bnxOM5ZBcJ/3HPlU0sxzfNyEb6WKz9zF91ZaZOuC0a4/mRiW2pDLxjX3bqa2dhdgozT2UAk2ea6l
qwHuG7Kqp1ayEYy5nM2ROLWxfoEgdZ469eYk0WbwzE2nhXhYjYpkGOsV+sIunDywDC0hqFqcq31S
NfvG805tEkKPlduZqDiG9hHbw/7CFuWDM/SXg4gUFlMr3kWzeMkafcvW5zHSe7l1AuJ+qzqfdo2R
cS1Il57Zbo9y7FAG41UA9bz3zGSTRsld0HfVejTNYdNXrH2hyK9at9oONimEBCvqJ9MBTDq7Ax7d
wihY3TpXnpl9FXFU7SYh6adCzlJtCu7R45OEArFUL9DRknp2TvEZ+3Eo6Ez6KqPhc+Qa7teEa8nd
cBseI9lhaB+yhw4zxhHxmg/B4iZqsFAVrgePWsOJJrsz/cl9Hakduv+beIy1jZpJYZjwK+uz+25o
cNOAS9+QQoB3y/WeksS4xYVBdEtQgsvHAL+ebPN+zuMn5ipkMC4hdC4AEDOOLyzDOyW1/t4Sg7ZP
ZnR/IlbTJmrtkNWreaO66HOU8POHE6DwGYjD2q6sPdgQsjMK09pgWHkrk/SgwbgYwoYWiHhi5Mo2
AU18H31sGSIwLCkL0jWm/HZsrHFdulWBVlntwtCB5VtAHO8mD7Jowusys8NPxTp5R813VZbuUtzx
d28VHSaSBz2vngwVX8AKvmhiLz7g6SLTwiY7yBIF44mW4LMcWwSHeUWlUOIS9i4QCILZJr9tBYH9
Uk/KJyJCsMxl+ANU3PijhXF24AcdeoQFRtbva0O/FgLnuyRvLjWCUxOqQ1tUD0rrd2VbnKOy3CIy
9KCyoLgM296DfcAa2M4w3Ll6/4gq8a3tBZ6DcTfEFaaTAkJHYWMcn/itJue6rAeSPbz+zk2zLf7r
er7s+nOgxdtJ99CVFleGLK5FH+xRU11p6AL8nh2LyEDeKpC4qoxmX8xNtrKJgOIDikcdXUOwQkPJ
W84XLXJZrV1b5Dh6le3nev8epSMLnNx0NqJaHlWoq2OCVKF0351kVIcS4esatri3Yzx8iIxa+nNg
5c1KYCVZoc8YdxoWpo0cTRzxTgRqg95429Awh1BkjiR5Jtu8t74q2VlbBW6kNPvHelavszMkG5a2
WDLM4XpSyWKbtrErdHa34TjqTSZ7hWhOIsy6E2cPyVYuo6t4BMm3KvLuIIs8sbemqmz50Oup6+4i
qzF2CvMMz1JdYA90xmbeuCocjY1b4O5hLi5MAgVdg6k2NfUcX2pFPqk7T8+N7m7wGs08qVEBWZFF
Fj02syX6q7Sr9kQ5G2tg8vierNTaxrEM8czMLwDsb9uAuVqXjkfLKtS20Zpx52r2SbLZ81FPW8s0
4bUuS7R3nQ2zJrEeU8121xHpGysDgOLRLPkwk4CIstey2GrL8rkKrJcowYfduQlGkBlDAi00tOZS
JyiZ3BqdRoVJU0PcazqeJ/wEpDeiy620M4u2Gy1QJ3D4z308vLPrJF+MYWhrgIAIK7JrWnM8RtNB
6sQ3ek71EqflrR0Hw6oTqABhIjFA6oY7XSSXQetdaMn0lEXifTagMbahfE/7/FMBRUabj2IaE9+S
DSO35jYdOXr0SF+R5Ttmpyxyzjq4AN8byxdgJlAmTfz/GtvJOp4JrxH5pe2ksw8bnbA2cloFN6Y/
OHL241GdZ1g41FvBmneh2jsFg6G21LudafWc7VblO14MmrLBiFQE2j3pm7MMP4um1XgnE+okjcQe
N/UGvvnCCUi9PZHh4FJHZjcmJHJ8X7CR8rEasHAMF5XbiZXrglIJDecqHoqzygATjhVOT3ambd4S
X9W92N4A6qZP7ybC4QjZIsCOmIBqLRP1ECjV+mqAzZSVx0TDUOSo+VExvNny1EFk6eaStZCA0FR2
b63nPXBAb3UAOVD/Fn+fuYcg+lD38U6LnXHdh/qhHszr3q1uPVl+ibnoMIrplxYRK5bkuesLK9gF
s9GAy2sOodZzJXQM14REcQgk7uDJyYUzA1TRFfWulWx4Y6u9SmMFAd3ZFqL7hIF5D4GQ7Bgl+AAq
aySxPe83uuHWvgcHYqexpF47pLn5NsTqQtOMnS0i99Dxhq7bKLvC1JisCHs+Yjgjpc/2jk47PmQF
y+Cp5BLkyNqSdhzutME4ZYVnr0HNhAwMi+wUGuLaNiAUaS0G267QiWoSGZbpAD/KZNYBSCjzYFnx
NQ37J41M261WuABa44ADDpztnAseCelei6af2aCbuW+X42tRhp9NWV+1hfM6W+braOuIbOzHMg3B
Zle235nxIcirR71096bV3A2uOJkJZitBL61n0Uk0w0uYZzvliDcPH3Co4psZnx6DcR2U6XKIM3zj
rI9+ld2/+1jE/y27z+XX8vWfVffyom9VN5OoRczsuTahX8uU6ruqGxK1xNiHqRdC+iKc/qYxoeoG
LG55fwRmLrvwb0X3Uo+jSWH15X2U4z81o1p2ZX9fY1lMprDZGHgWdISmP9TcdVlbHU6x6LpWiaSg
TgeiFqVzZVAqAjMLtUVUjEhjsBumALPu+W3sWAGBTGPXbN3fLyLbCL13fBz7hrDj4KVK80TfDNj0
kYSSox0cjSiZEFKTywIhJy1g2KxqKyIq0VCk2iCkknMWr+E3Byx/nMKBeNxPNj408rI8d6LWV87M
fiGuo70zKIDRWSLBBuMMlfs6bCAEFTBvyeUasgY917I3USYP7CZ09dKGK2X7+tyh5ZKg53+tcP+w
cP1fFfPFS9u+/ZvV4Dsd88dn30ZDJUzBLuRvqUo0o8v/TdMJH+N7q8HvHScaZ1pRBFj/Y++8lhy3
0qz7KvMC6DiwB/jvfoKgJ9PbG0RaeO/x9LNQGvVUSd2a0H3fSIoqZZLJBA4+s/faeNr/efHrzj+k
oHEVyyb3tz71b3ScP/z0v179JuJqmltWxoYwCGv6tePsO2dUEE4NVxNyJUBlvQ9Khwz5Ca9OFJJH
7R/bOQl0b4r7PnlUO5W4IBwSUbsv54iyAYRWcmrg3M5ePGott8pQ5gWooZwbnvN7APWdlrU/e21Q
s4PCcLUbf9wuv9VwU9MAJofexC3lT/PsgDP6ca9h9eLGq6xAm6n9ftyVc6FSEyI8pj7MNKzBniHV
jCAQ+4ftJ6GY/FFX1n1gmA+pqoAwlOyBcERQ4OaWQRAgT9vdqFO/fg+6PW6CGPOUFwSEBHq642BF
TsbgAEovfY8IWlo7AfRlItKm3lNSrGJ9ho/WCWGOiAwiHPottCUm/q15zgAY4/IP2Z4Fxtacwm9r
UIxVltvfrKKRcmdB5smSvysVeIZK3xEhTRFzDAMC4u1l6xVE5KvAI8Fmz0HyLiQtlkbWUL3OqF5W
tcCK2i2YEzIlxM6uDRbFPtnQKuMsJpdFcChrJQXBhRc7HVVnS7P2lcjZ3OqpHnhELRlbMlkjTzQ5
Z0IgY88wu/Q6EUDFK8cATNOjIcHr7tkK7MzA1r/CRil2yNS4LNDFEm9kVF5dBMzvLeW9TPxgZ81p
57L+pKCv6285+P625PBcyYzN/HqombmnrSa3kAWbg4PCBsBdGJ95zzQThVUckqEHVBWjcpcmOzk5
TDeO4zM9dYrMa7rQXBVDlrAvNuzV0PmEhc81b9PWn9M8oXOpYsqSmkLcXwqUQqb0pGXPAQgWeaum
VnUDx5z2IhjaGxkxV50ntaKonGCM49dKN5zqo9f0xbBqjLH0RlV2S+1Yef6YJzsVOhhZvHG2+8+g
7segTsUK+u8Hdaei+a//nwdf6Vfz57ph+dJ/1g1o3qgO0IlQIPwG/Ph9Wqdi58AWaxoSGRrBEjy0
f9emGv8AkaghU0PhyZb4Zzmc9sPBxbFqag75SH8PE7Ksrn52aUn8XmLR5Ujc5rb842ortiX74NyJ
L13mzaZc+eHWqJ5++mCuf/tuPwe4/FZ9/PFVACix2UMWyJaaj+fnBVpFijLjAzO+tAWUMjgHIid5
kcmf6+vMp2K9IVwH8cFJBuDDujKM3XT2jz36kFtRhjcpETh0iBEQMYG4RVVM5ukdWHw1Eq4Iwv1A
ymrXh+eod3Zlp57EPNwwhTlXc3Eca/0K89lBxAmbiT4IoJtWzkYux4sPSwNljfOpjgQCWAlW/Zie
msVz9x1hDAPQYDF2qpdhBGIFskeBmqwmhv7WYVDmbOsPo1y3SkOWn6Phf+1mnhoJrYSLTu7Rx/6z
ZYOiv2po/lcKWOhtJJLQ8sKuKunqSTt6KgBIridU+9MucEofx4Ses1jsdfsCcG9iF91xbI1QBMNV
q5e6/ThrlUW6hpZua2W2zK1aDPDo3ZL+TFZuZ2YslVZiNJUru9KUM9+/pNwr2MIB6S8IhrVZh6/x
4eDdWBx5tbQj2LNGcuhYW9nXvF6jv5pTIJujNhXAdonCuC0o0sbrEDPKigWkA4rAkgeCHIIXhJvG
EwBCDH7pBIWozTtjTxquWbuMsId5Z/NEZh43NM4D4zR9ZWFv85ROMOwrx9BNO/AJWH2mfa+Z/cXp
Oum1fOYncCPNW4MSapxojqcRS4lTMW8jUcHDEomEOe2H27lHlCAYkjiF6tzizlVXKA2itT3R/RZl
hms6MdZ9oWI9jJ7sjEEuv7p+bTEM8GooNiilEF6M6RgdrLkLPYmmY9u2KYlSDoFNTdhrZMBWzdbS
+91g5ORHjFpzE6DC4AmTnaM8Pfd1k2+yOroxCnNv0y+ufSvdFVGerANdXDfOcNeqsn8ImHB/E2WC
eCtZW8NofRdgbc2sWSd+pd4LhXR4q90Q75p4jgKSwWYnNCItaazys2narzyqv6Z4ekQpva71/uCM
2YYDBGbYvDVGcZ7sHhxJu0NLe8LYQIJj/y7MDo2VskkHlecPks9u+iANkOfWB0s5lUVpqvMUD3gT
Zv9iWiD+ZsvwrIZMVeQ1qDCH+aRl2l4PtLNVdrAZkpeSX1/T6ogubAkSwiLV3t51Yn4Z/YYVm68x
qqpWuh9gcG5ysY9NMgzVCbWGlNf8jLfsOFmu0ZsjpvIb1+hZToWGRd67r920ad7gFmmPgTZyMS9A
j4oxEjMBrrKM+Qw3EajUleYwOrXtk13qJwbeT8rMPNOUd50W3ORVeUJt6vaac8q6/iZ0kHJppaeh
MqVaGpknJiquq6FkKYtlJajFJVGS1yJRX2l+DlGTHIvUPoDquZkhn6YaOSppejaNmI13NR1nKanF
KBLscPqoErnrmCE7NbKhkKXlNA8Hu5infTXn+aG1i89sItJdId94PQUQS5hfJtvKYUbcEI4xT0q1
+euT91/g69gSCdTTpCQBe+Pfv5684aRmzWSl0aWoEs3rU2fyZI8bKMv69NRmJMDL3t8ERZhRNc1f
alk1N1WViHsb7PCqGMdb1tUnwNPrxJFPYmy3VWh950kcrAHfsOuPfbFiBbspZq7pFA1E4ZuNO1CQ
rgzmnmtpt7u+KN5rOXduFDePGkg9r1cJqlAFwS1p7uIYasa9WrIRaP0c31691Yz+OtWKbZPJzynN
7ogMOnR+AnY2PVQdcZJlcbIbzdm2w1Sw6ox22giLtukj1/KVYhMa8TZARLpuRHNrTB1T1NA6iBA+
CDE8gvgglel8PT7EUW+sHIs+U5u0K4PpoFtZCI7hmJLKN19CFMfJYG5Nsk3giVZ7P08cFq8sjjOb
cRBEUzMoT2mQ9TS82lWUAp/ssh3PNVKESrYVxYRvMq6vkji9ZRyARixHMmLlkE/1kmKvrq8jvenB
fTP7r+v4wZgMGHZjBIldHqN+oVlxgdooFJOk+kwq1t1lBtpBfYmzaZ3pEKcgurMAO7PF+iycxeaF
cS9wlE9fteZVqRF0jTlwlaSZulfK5SxrT5G0njWRboSY+pWNtm3KNNWNmykBdRFc6TOq6h9wU6OM
7Z2Wxd1jwaLqiDmjPqdUsvu/vlSZkfyxELEMTDJSs1H5MDH59UKNZ/b8NX3JxUfjoMeHGnPaX7/C
ry4cvqUuaRMRqULIx03wI4vyJ6WvbkFrtJ0guKRWvFKsq6iLdlF5Ww8wz8Egw3fdOLH3169JA/rL
z/XnV11+7p9etSuZ4xvQ6M8gwO4ATaIm5j94Kj7T3UFZw2nDmNl8Qre+77uc8MOR5Nc0B14ktKhw
83p+LhR5ilpDuKQ0bVJnUN/t0JCsUuIHy86GdZBMR5kaL5COxoOa4rDlasoL9nQy9+xSQWZfkiEj
82nad6PU34s8bjeojHWW/NFHyrXqVcIK15zAE6N/CwNg59x1RjqjxEwekBZq+ywgiGxqP+H+7Hgo
3Td1vbGaoWHgG+90ESoogalQ0iHPt9PcCbdig4mHYTE2ROPt4rDMo6gHGRkAxHXg6Tf9d9WwU2jK
aF8bClmExv04x0/Ehx/MFvlHvWTVRr4OhqONmAp15j6Z4yPS3XU++dpaT/Ha6X7CKSueeoFuKIqz
s40vM69ZqfozVzDx4G2QAeQoCZLE9VdiCFjXqX8uF6iQKXdqseR7BuMdpn8KuFK579oE4aLeCneW
7VYpI+ibXfGG4fhci+ymgkUARaNlr3HozV6hfdZZEticiKr6kE/hDkz/SEBmdyktnpExzGX6ui+7
IunSj2wmx8Y2KI2THFL3/7jc/q9r/A9jQPhKstcYz52hVF8HF2VTHavHYTvvzZ11snn0uB/asEJF
es5fh+Nfv/giuPvpFv79UsdIhgdPw7a+vLmfLnVgBHYOVFo5l2tzlZ80t9wwE1SPypPcCE88XCnu
6an3UD/1b/wjvUwnsTpEG5/8ylX2f7ybXxub396MLigvYccubp/lvvzpzUysmDALxuElFNdEY7MI
fqr731rfj/H/BV/Fv2hsfj2z/vway1D2p9fAGt0pYZiGPFy/gnrnTDd//Yn+y59BIvGQNoNlRly/
fn8USBDHooqHt3JdOdwPJjXnbyfUfzyly4j837fvd295+/ZfLtrUtz+378uX/t6+I7Zh+adKk13g
/5CGf2/fsbZQWwFhwOy2hM1zvf/evsOvgr2ps/phdocfiafZ/8z9desfPOB0zbGY0//GhPgbo09D
/fX5greU6QBuOi4QE3EPaolfrxGpBioqabO40myW8Eg0NFRf0+SNy0pUGwMVkm6ySfVpn2c5/i4n
D18yRx7Ild/YzNDZF14kjBXm8OSt+54wiGQAn12c0kiSkhLVj5Mwnm0HUIPdTAhPldajgry3av8q
Fi31RRIAQihieTNCTGeGNcfEhKc8RUgbMEG2sP69zGHUr53Z6IkOx6WdoExd5aJFy6063ozjAJrm
tCbL0Jt9NLZocOFOWEMGJMu4jBOC+glGDJVOY9J8QeHse/FAFQmjcfLwtzbr1jES1xJoE5lmflj8
nPi8+b6Vszjg+7SgIx4WA2r84USO7U0+SADU5AlJDuF+Zpu5T0s8qSRpekWOWFMUcL1MUxlObDPo
/ns8uwb1WVTBwiK7UHUJ/70CiMQCdopWwwwxyeruWW4gIUmqB4CpV2W1MKr0gdYkqjZsFLuVX+LP
yRUSugZDVC5TEHDxVXcuS8QIyVQwx+uVbVmbBzPXQFb2t07s876HmKC+Qd1JvULAlESfvaqfg3y+
zFpGSgVC6FUX17h2FKQT5GgkUXnqQhv6i9AcN4B0oMxj6xbwptlmx/qqbGOiHTRrH7fWTeLjkNHB
5iHmCLwKf/wGusJHpQFV1kRz0dAoGZWCgjU7ZWSKqGl31MEruJnRkBvDNeN3zXUVWe3KTvhoBLEI
noGZpMnBxsbdtqr0szRDTAAOsdQVG10kLfka4cC2jpXrZCya85zgXiBqAVmJbd1qlnZ2ypSIv6kf
YX4YpEknGHp0iGGr1CB2NE6EpODwvSZo7kdnDDdENp4Dw3+dqn7apIq9BZdsrc1WPBpV9RoTlLNW
iUiaKiA9dhTcMBc/qWO2noPxggL5s7aGcp31DZ9hY+2RWhIRY5mntmuuoqKpFNSUMp2/ppEca5ll
7KjLR4bHldvPgLqi2TjnXVIe4tZ5KRJx25r1p02qdY2CoJyDTcAsvmyGg9Mqm1poNJfhJSqKwxiT
JFAQQZAnybpq0FqlfjfsLd/8ni2lo0AdYDlEnS8xCuX9fKdZ8zmoaghABK1uAkZVq0G3eF3G8mm9
HeTckD8U7oZZv67Nl0Zh2p51zkPu4HOIg2O9KF+z1oR9rSPNmK+7Wdv5qDZQgXQ3HHarekC/rZlE
iUcBV1/lX+tNi51NZ4xkt7BYolupSpdYiLu5ZFBm1bhUwjGKVxojFX5d4EKdQEWVg258oyfWNg0i
MKYpZGCNDT6zrxQadseVk5cqUCM4xtBQyJMalWdp5N9FLT6xXCVgOtNHvF4nk4jt1ViVxtpcTGSi
ppeWcflud4p/chKGfyOjpUmI66xAYdbJSr3CEv8FFWr0GAh+dY0yg3IZb/VhKvd63r+qRbapDPE8
RZJBPvX/EoNKki5kbqMxtiNI43x0ujVI901pT9veL9airK+dKD0KYjXmht2nWYHKk0t7aCU7KMAo
EBTzwYZywyujnXGMe1WY2jY0i2Y9V2rpEV4xepWinUdug2tscbfm1OxAjUZunvagN0nb0haLD4mI
mHnlQthbckGSxnCdCE1jRYpuy+oWpVfqqXbxHTgfUSlvGcfcJnwmPAdUABU5ELjUvkbwvaE+57fY
L3GjvqxX/Uze1dDH27CqUDfFKUPNVvlkTOvZdlKtTTM4pGZwAcaSUHdH/dFQ1NzjFzrtTG28XWgc
alYyXYIIhGww3zkj9TR9cbAHKOT6yjqx9WPINh0BoHwVyD33HMf0tQA9AmPcKGF1p0X+1iJ4iSRz
q/PAa6GdC5qPRAvJi2z0bW2yLe6rCnwMxh1NK+86czxh1I5dRa+2HYIPMykvQ1Gm+1IdiCIeb8VU
eBADpo1pyWNROTtFVYb7cJ66zdBpX4lDSdpAf88Qhnpziiv4Rxnxn3pKpdz/9/XU+e3z61+VUstX
/V5KsUWmIKdYUtEALbbbnxQU4h+mQRVlMwHXNG2RNP9vKSXZTdgUOBRai63n51KKzHY4dnyBjpiC
JcnfKaUsvtNP/ctSSoFkl+g3EE8DO17exM/lvCLUqeHGCa4w8bMeAKDdNmCu0qm+6G36VCYKSHCk
oXM0HSRS0m2eBYxCup1Q1S9D6cF5OyadJtYfnhLHkYSH1ezEhEz3bJtRmS3976otCHa1s/RROPgh
/chBtBmVHyrJVrTe3aXtEE2o/YuVZt8qcFxTYx4QBeGr5aRrhWHsI6MRscuZhgXZ4LvSN6ENt2qx
6To6hYjzFV3TC3ddvq4iNs0N0o31oFjGZmz9735oviDjkXSCgdezC4oOptZ3RRJSvuVvsxgelQl9
kWMFvVuYTMgThVKETL91Z4V8Ak4IeFkW77YZf4SyvmSmgNw08CN2dZN4TaleKykM7DQ4F+V8jIsI
JEdtCjYQ2rUZx9ci1wl1i9IWFVw7uinTmq1l4E7pm+HDb2LYoahrV0loUwqFJrgREd/3/XQNaoQa
RRB00eiAgInIvmsyn1GmegNHu4bhbVAvOvMxTJ1D2I5g4UMBTyzEF9T2+0DFDxMUmBLBgsCB7kzY
5VEDnJr8r4cmKTjEChP6fStjfMCtfrC1JTopGT9Zt0+HoA+pa3KBOTSL7a0+2IpXBvrJqtR9ZSDb
njrfv5kUkAwh4dmbKWA64aSZg/omsty8y8ObwqKEWsKVI8lQsHqdIPxtm0Bf1AUhw/5ARsxVjY0E
WgKTkC2/lfubNqhIlEZPA5s++0CRmbmqZA4ONjXz0nwRPWb+K8BrPC51eY4SlL58U9wu5ETHUY4o
fO69yFep3HO06JpWLSFL4Vpq/biOR5MLsgNPIxo4/LUGhC3o5o+uFhSJuGJWnWLA/0pyXFcoundR
rME+n+wzbmNnbY/WV132lGmOeskHnv16y6XMjHxcB32UbsqAPZ+qWHd5qL/2MiFKiZk0QneZ7tpm
RBUaDHdI2Ju9zxSdOhYJdAbpBsM8JmL8OusKL5ovcG9XRmrslMx8cWLtnenxVipj6y0hcwrBA3zO
NsHUAyivsHqfHGNBYktKvrxxrBuM461xUGd2lAw8F7j1WEOo0Icv6v+nMeCe1xK7YBnVIUWEjT0t
kGw5ZC/Dgs32bWpBkragc5nT48j+gkkzzlT08IBxFwzdguBOYHHbC5R7gM7Nyg1z9ALsVhd0d12x
zK8WnPdk5vczfO/aokRfgN/Qyb6jlgeiHu5zzT72NtEmEMJnSOEai4hQCc9iQYgXEyIBZFFoHGrj
FklUv1b5vpsK9ri9QMgZru9JUQdLnvDGnWDXwCtHcPFtwS9vFpB5AeeqWNL6CmL7tGVo9sM1Vo3t
QKT6ku5HzJ8NygofA2VN+wT5vi82Y1gaZAYodXGno9x6ZDUwsOnRSuoDQcLmTo9s8xU8m3nAZ5gG
12mQBug0K8V49QNL88+xCU8hI0Rz3Tn+k8qmBwG3xqXhL0JWrpedUSS9N8S4hQeuO8+E57fiKnzp
jG43k4KDIcDaEaPlY2HAxYuQNid51L+x5/lqzDviQzNyoWA4XKdWwNiSdCEvKyOOJ6TdGKTj76CW
NzWN6U4ZzM0UNeUunZLUldRO7MzYz/SPlVnMG+7ire2D6nQ6JG5ivnaM6NglE+ywUrypI+d4AeSF
BKtbdVBTt239ZqltCbhs/KspERqS8oQ2kcRfAtAGNdnnBYP3Rs/fZNGjddYQz0srOkVJ/K7BHyzi
8X2Ei59XiMRn29z6hsF9mCKYkUpyL8YTOZPrDM4eDvx8phlAqdvbV4FqRpt+ir8tPcS617KgoGaU
aeSpDMBWxHH1XtpXGO4ychVnQC+hz+lXZ1lALkJp01e32SrWIkCmwE6xRW71XqhuNqAj0azqNopN
1Ey1hE9XXRcNqXTVgGifZDtMIdrFCMksMANlY9Z14zoyf0wsZmtZdVEsyISFIOfL7j/iwQq3A9rs
oRyLFTPuo1/OT2Zlo3GJrpCeZ67WWofS97HBx+UmcsS+bOxX1BEkSKC8xVVQqPTrKqGzESp9thb5
RBHKqo8kB8I4NOPL6p16M8wctjotSpxR8sKOILViGje1VR8M0lLdLqLlJ1lu75CasnKAViT9zGo8
ukv97K3q5F5DZZO0JJsVymOi86sWxOjVXdFy3PSbTA2+Ylyh5lBgVOBv/dL+JgPvs2zUY6aF2//U
kz/kNSbl17+vJxmT4PSc/jybW77s94KSARxeX6HiTjAYqP0iS9T/YVFqkpb1C/MNTSJEVQaqqqFh
N4cs/7/VJPrexU3OZghTloDY+neqSSn+VE0aeNmR72gO/1qq3j9Ukznj26pqsutcLQ2I2lrHFGda
4nTMFZJWeMXj2Pf2KpXlBwOU17ngsB+V/I5oE8oc+T71Q+iVXbCrGWBVJQsQ9kQprl15YR1eYepB
AVOUROBg2uy5B6cQO7DVrUB7XBTFZ5XUE6kc+8VVw95GsdhqmM7wCVm48ELYbZ1DqCzV6HE05nSl
U6kq3OK1KMx1gdXzErY8XlqfvyPn6hPWJsdGV7/3UUskezJthWa/KyNJyEOrruQY7CQYfXzdCGAS
HEBmNbxQIz2k7cQCJ1HvdLN9Dmw6Yc4OG76Fbl0FYOk9hpotgsCk9tQpeJNyZu9rQn+wAU1gQr0q
Fr07/oM7sSjgQ6TwowbpXJhfRstphVS+4XQ2Fu18rcCvQ0yP35f/29llon7uENsXI9ajfJHfI8N3
4nd9oJFHmY8R4qPWmqt6jp5MlPuJYWdrTSeSkCDSa4U3y9B92GUhT/m4JRJ2VjogFEl010T6BaTW
Zf5hExCRtpoW6wAnWraPVZTN5mIsGAQIWnMgHwDY9cpUQuki+zzGIVbIeLEmVEEKwr8Tno1rwWqU
A8stVDn4GewCn45wsqtyMhzcNjB76jLXSA4ZtvZiiKijjhHnlNrbRIb1OhYYJ6zeHz1zMVMwoMM4
MWm7OhgeffwWKb4LS3RXggeXqyhOta1xnI0ayW4Bbg3NZIpLDUB5Mcwk3eDpyBQEPLWm+FtuNN8d
iv5I33QJFysIqvH3WKlvrd68HvCKBDGmEUuLtwYukqw1ds5Chklm66HFzi6y4BHF5pe1GFCSWcOK
0mFK6Rd7io1PheRX3FNaefBl+aQsVpa0GR6UxdzCl6b06Rhe9MX5omgTz06LcbEK8bVRwJwV5dmY
nKvEoJRppxEnDZaabuwHb1xcNlRwAfdKba9pRTTXx4wztEBWE70e31qfUlU0JbOaxb2jJ/FTl6x5
ej7orZpyBeLz4V5bG4vzx25ZB+ZNS8DpUJe7UdV8Vy/EkdgkzE/kqGZxBKqQRm8iU8Gb8mqmws4u
0ZKTNS3uo+iHDwlDko8xKRkrtKK6uDP0gzJ9J2LBp2JmKmTjEf4cw4Yk1cgoHlFRf4vFAlVK47ue
xQsspxOEyEs5TUwCMU2RAB16FsmsuDLJAe6at5TtLuXcHv3JweicJUEa9QzXHmYZpki1PX1rTf0a
KN1xKNqbFP8Wz7BkQ0zeGr7vWXeYuaqL2ctcbF/xQuztFitY3bbf5RIulULmWZOj9YYg4BX5o2Cq
jBFXW0xl42Bbh3YBYTWmYrNOYIGgEn+LyZzlH760Fq/yijVitOZAPjaLeS1oQB6Ec38gNBa6Kg43
Kxzf4sXyVi7mN2jtKf0Wg63GAM6VkSwaRrPbhuNda1adS5qVl6LiI0kp0rw8N2tuuoJbwrbOaR1h
+xv9S5HqzCY7f3SlEtxB2roqSucOkddOH+lSLKyFq25Kb6HLXIJArTZBa6fP9QDIyR+QjQmpMc9a
bmwzfmI4QYJsPyQbjlWA0Fr4Pua4FDqDimzIDxzot5NRYORkp4DGrLspDYTJkWmue3zaWxJ+afVp
z1emVdz7dn4IfcDSSZWekJzdRCZcaw0bno8+BHhWrXrgKfjavr8zLUQZc969M8nHYIYyfaXlWuha
cQUrYFa+IaXyvAjraEvG4A0pLu+Wzr1dpcQjMdxX3JSY1yXOK78ghiTjqKieQRQsljdcbdk0Witd
G+hkkRWtC85ss8wFvaRoN5AN3jsneipKLqTBzzcTmviVyq98xeOudgcdFFMLwWrjIDl1rT4CFKYP
OycwMvhLbGn0wkz5lPqHcEpuBp6JbhvbBR8MVi5TAqcCycjlZksyaOPF3pVC8S2VeVgnBm5uYqsW
jTSx8WLAepxYD2aL3Zp8NrMwr+Og/BqZiSKCjp/xnrCZqZVFAZOfVPj6F0x+MJIRK9FQL5ObfYuw
3zUmrfMSTCbPVRqn+2auHiDDVes015+Uybhqo/ZzqNKN48cPPOwFCWr4VHj+75souJJRde/MyU5X
moGAux4l1LKCmYxh55uU3rD6V0VvDLyVZVgj5Uc0FkQoo0B3SWyh3yjsWxX4hgdry1hBZsq9sswi
7pXO34t6erMULoYWISIiIPt+zJHU275yiILgDY4SChAU+2Ncbouq4OtleU0rpa4KRwQeuK+PMh4x
wrbRiyFQ/seVdS0667EwLDhK6bibA/07Fths9B7kpUa0pmePebixZNqtWmSAK1Fg/MljVFNqNDlE
laovFuhpdm7AZEt+sTWReetw0oN1LKeBaj1+E4T2JXjx3TbyEcz18EX6lI+6rRGIGJ3b6Wbs4nXY
xQxu3cjWed61zJsrbWkc0OR4IAs+w0Ch8beDesPCSwCJ7ft1ISYWWTg5J8V6QoelroLAN92sUu7D
enjAvw8WM3LcYkhPXaMyce7sFoN0UZH8EN61Fol3ftoCiMMxkAnnAQvtdZCSyMmSY6BnVDpkYNxP
et9uxgCwFJunvULlxA0ZCxfW53tJmzlqPM/5tHiEgK61xOAujuuBpYBSWt+WUO4V3eYhkLEHSJzk
Wy77BS3VPvqpPjo8yRk0mB9NL7ckpwKrDtQD7VvOohRK+WglT0EGfb0aQWXbHdw69KCB/y7s4ERh
YGA2Jc9M7eJDadYo3Lo4viAZ2vsVwWyM8V8Chf0N2cf3as26teyUW5lhy9agFhrO8DRSc5FCM5MF
Wxa5V6GMc1n/sClKKn4co2IsNNRMCwrjaFfFtW1PLH8kcYTcd9+WhieGawZeVqJvRN89l/3ClatV
oHY5ETiTftatiFhoM8ZzlpR3OH1N15REgBXhyDld5+fRqHNaM+YydvuBnK1x1ah9qsYfwDnxgJvs
ME7pvUae5HpoOFKlAIKKPx7ROmSVVg4IMrtTifkmF6O9ElPTchyKgqs2/nKojcPeAsY/5l9zVh+Q
2DECrOe9puXPxG2vGfU9lD3blIYqTyYcfcRjElvkDBg9WK2t6Qe3Yqy/CeupOIPHFz2j5utj1Y3S
+LmT+d73Mfwm+ZtvJ+9x210ZRkUKT6uuocxs/J4tfKpXu6mSt2OoeqOJxNyviruxQaluOLhkFYgq
8XXLJmKKVEy0euiFfurh8DjV5M52UemmkPi1QxOrJNcFUktu0ny2nqcisuxLpZg9f2DiFUFFzrrF
LJXDf3rQHz2oQVP273vQu+ir/lc7jeWr/tmCChI+VHAsSIzwNyzbiX/KQwj/MG1yV3+4Hn5kVP++
08D+thBSWFks6FGw5T93oXwTDR0k2LPFa/e3dhqEyv5xp2HAUMV+Qv/J7gWz6a9d6KyHWagVkbjC
ZcICMJtJjlFfi+ATyPBs0pHWVn6K7H4BHTuEtJf8ea3JK0vNr7qq3DAqv2Ui+gqew8UWNm6bJHzO
a3MLOvlWz+1z6bCzb+QLFDYy1JnGzpIcZFM2YC4YtGpB98Dddx+LHCeTQ6JWxbhxLaLyBRE2Bnzt
aE5QhNXqbQ4hJMbzMzd75WZjC5+EjeMYSzqGaNd0lMdxPj+rgdwNIdF/RtJejzJEBZs/zHZxcuLq
GfQzwbOm9q1gha/q7jFRGRsanbmpHWUzy/k6cpAZ85NtSyfuWNjk6ABaih1u35X0h337wyeBcz0g
C1pW7OkbmvQpsx+rAVoNAc1yP3fIxgffOMaCsK14UHbWEFHPImPfdcq0LYxxr6k96DHrdii7WyZs
9UNqTm9pyVFjVfYhCMUTg4AjBUfmlmI8g+cCHxZIxTPjfNeSuuaOXXc0jGZvOUUBSsU8TOpnk+ev
gd89TAhrKC8w8AGHeU1EQzwJAotUGl+65PHjmOoDc1IMjMLgYWSwQ2io96ahRzU/Tjt0vlsbEGRJ
YdU1fGZBkBrrYQpi/MFJ3Pb1BYWjGnq+jIttayIwOIKGA75plKLdFzZCnXbxV6psp8hxLUQNzCNi
Y+E1jd46b4wcB4QlLK8w7osxW40s3Q2Q8kW9nlKDxTGbZ1gKzjnrqgolv/6RhzgTkPug6zSoZiDN
8V+DWA9z82H5HavvpPqmLYeB7yPhyMFVSZUxYGAmt3IukcDq8qKElJytVvI9WEtBC3tOR+Mlt8cB
YW1/V3ZJ6DpIOtdGZX7GZfMNR+Jrbutp1cv0MbAMLgVdP4seilnSMEhAp+3FQ6tjMex53lPf6E6y
M8L6xU7MdqOzGvHM/2bvzJrbNrpu/VdOnXukMA+3BEeRFElNlnSDkiUZ89wYf/33tP05kR0nqZxz
m5u33rKtQCSA7t17r/WswH2aZOVSmUiLbWd4a11klkUGxmvKmRgWjJl8NfEYF4Zkqz5lPXt9eFWM
yZs5trg/eF7QyVjpvCeGdJOU1aU3OEJi47yvmA4u7DLcZPRUsJozQ6enGlTQASz+xNWGT+FcX+Ig
8ydTaQ9D+0SsX0tSjVLuFbopUk7NyVClmlbkBA923EJRIsZszQicTTrCk6i+6WT2SxpF+5kwmBnI
LBjTLyjLGz8zewhH9ZQ2r//tK1/3FakC/+t95fjSxFXZvvy5uSl/7vvOwrTc4DgpkfimQ5cTYd/v
O4v6mwGAgCxJacaWUIHvGwsgTRVZ6+/xmIywv+sOHckbIBoD/53JpsB0+18Myw3pTfx5WO4hqWdf
QcDCr/HTxpI0Sqo74OBOuQol9hjpwnoeNRU0h9UURXgumbBczV1tP9uROSCOVQrQyMOoDE/N7LQP
XmSWt54XW7OfGN1Qro3CEZ9ao9OYOzG8XtkRITxmrDzw0mF/C2fTz3TkQPpoU4kWmy7UTl1v34XZ
JBkvL3oUmAuE5nbr5iuiEGEUoVPTJ+a9Wmqvxj5YdkpzhcobsVILdjhseqBJ6vSS1g2y9KEZFpiG
WmTdtEUn7C8+Led1VnCaUwrHpWXl7cywQTwzBNsqt2/M3rrJY1tbpgYulWC8npG/LIlYeqmL+pb4
mmfkdyTrBM2wJg27W2ACnzdu7OU+njqcKqZ1k9jOoXfbR52Ao9QusgNnwj3EIsaMge4uzdYhNLTh
fJ0PFcHGc3rT19V9bc7V0Wj6coFuUVtQ3cNRo3omYLcHhpzRrhAA0PyRhsGhwH48OwT32ETxtppa
LTu1eZ/bZgI9PCL4abtt1iYbjhRbjekc0csJAzDPN00URogv1ow+KOwTvgPS7Dh29661jQv+n9mP
HSFQ5UMBY4kxzMVlZXer7FVLozu7pE8iRGIeAivYAW2+xBWN3N5yIh9wesChzD6EMsajzMybyLbv
zIbcIzT5b3ZZ7Gcsh9XkYvlSXSZeheMsmDInizIc94WMIVMHxHBlscliDoi62dELYs+F4vyQ2LDA
bPbkNZO6lV2J28KyaXoOZG1Gqrs2a6e/7qQIwJlalzQCcydSO3/AGjgum7S7zAQtLFCZ0c0mS6tW
SBxOpu6+mZLPQT+gpY/A+lBxrZ3G/UTexaMThLSstBey5rHryF9D7W+UyV3XwXzKOCMjfqB3wBlz
Kq/pJR4yLz3Pk/0c28ydi5T09AaF6MJkPErq37Sn9Y503koOpY6KVupYI8X9pDis38JCu6Ul4ImU
Jl6nQ3ptVfnJ8IiW8Oxz3zIDZ/9mX3TMNTKpZ9Cwy8jS6cpmIRuJc1X19mmKBwOWQLdXPOxffc1o
MWjv3MT5bCvjsbG7dz3I71rh7MD8HZI+1XZq5JDYknlkYZfcB5zkb5k28IrN2OjdMYPAXNgnPry9
EEP0WDcg8DU1P+mBdsbysK699DNjCd+lK0GTBDRrbuRn0ZUuI71o7+Si+BTJ3LFsQv+mqAB6lAyu
pBVNtQTh2j6Kyxd8+emKicJFa4PHTCknH7F1g4+GlrM7H7JCHDstZYpvPoHRexGGdkWdC1GTPCe2
/SzwdsSmnaBubkyDtl+V0fQMMmK/aUgXpks7C+SnqcvwXA0KkBVdedBL9rHWFJdWpuBdjb3Gvj4X
PZxTSLIeFfBWS9xPXY7gLixzjZExTjfQbjCjkDrg5ipKEhxHUz+Pk3mFpl+7jnixfO65dSocKhmr
Jx6TGf34aa6L8KbRtGyfmOTPC76C1ZAp2VZzoO5VmHxRbDJNIM7bFtFWKAYEB9w1GXwHVVsrCfre
/7bpb8c/ZPl/vU3flqyMv9ikTX7q+yb9Nd1Cnq84/snN+OMmbfxmUSpCtjPU/43B+b5Lu79xWISE
iDdAyvblf/D7Lu0Sg4P+jH45y4ZMvvg3uzQEuR92aVwvKk46aKAu40wDb53x4/EPuXRWpWqinuhZ
NtHaclFsM3frXpukW/UmTnc1D9KtEiDbSTTvIRDwO4ImkgpQ57PIs1tkAx4KcH3ZCYFbsYo/d4q6
a/v6kCpJ6DcWgaRglHE70ypLDe2ZjlC4afWh3UPg2IHX9405PhnEOOeRd0SCstCaViqJElTTE1Qy
p3W3Bf35eQCTb4ilGGwSjJX5nOJQ92nC3OiGeGISo1AgFxeSVzXGnrTWIoTiQY+TqI5j+mL2no5M
Fk/PzKO6RWIlN22TqIumpqnEUStX64ysZsxpZakf1co8MT4wF0yX97NVXfdFt3fb4K3y8Djq9rMO
bvJijmyZYREcB5O9LNSVJxq4K4p77aUhT3sxpO6SjfQh1tU3MCSMBSqj9hHl3o+OAn2QTIcywy6X
uscpC8m55TMEanqM5+qlJTxu3QfsDQPnQz/Sa2tTsFEGY4RB283vJ/BvbTc85zaD19QhiMGtN8LE
M+sRk7foybVx23DDyfCU6hgkpNG+GzTVn2aPLdBbdwN5e320UYXLxu8mlyJXCT8sRqyzM+cEF7hT
UD3GkWVgkcZVwAr9ULekOEA2f7TmYT/YDCNFm38p3eZIUEp4iNLwmtItWhbCXkHEFD5Z6Ns2YNlu
6/BOzxq2L+S7ENm8q8Fm7SKR9o3swdswmDb4/Eco/PnVJIH7naG8jxD4OXCs7UR84s+2hUT0m72L
Plxi+6NEnGGZAvKH6G8fSon39xwoa7xP4IhB/ztkANA92CZOs7F7YHFCxgTwD49aV6+qsqNJKaME
ejIFNLIFyD96MicNbTqNzor0gRZDoy/ocVJj5JdORhTUZBWYMrRg5jw7RVSQFMEubYiGdoeMOJBh
B7AoNzrpBylbW+Zhpk8ZV5vpcJXIoISoIbGc5ASVBAUxW4Jgx9iZXruwbD5FhTCWEYIzl+24cG70
ipgIXO1NrlxU+ik37RRyuqN2WQtDXdPaZ6akB1/ScHwPLE/1oxIurlo7V04xPrR281mkGJirsrw4
obdRovSioYh2KWd8A2BnNTrU2E6Pf1mF9WWJaw3YAx+uWtWOI/FbybYUo0nbkRGFlzmU5H1LXyLO
l4iC1oY9vYy2viRw8dkN3JXqTffcaFzviQKuXDkUdbSJUmVHJQhDQ/PDJFt6SrCloQu/oAgXo1vR
rZivjEp80uqGcoTQY53+aE/zHgxscmCCgqQ9he8wOhBz7EVe5dyQB9Ekm2ns1p3LAT7vdrHCHD2F
wDBBTIhi7zFPEvwsTXToZfQ77XdvPeaIIOYUOWetotz1XtHA8RKQIjU61SpFs2hU09Hskt3QSOeh
rsL7HAbuLfmu8Na7tkH82J/ALizbxLxjTAeucmoOc+oAB6crZaLzQxXEPj9q3lpL1VurC95ryk4Q
//lOwMz3W6ff0qsafaW2tiaVDgH1/T7Czs1M012QTeVHZnccnGKP6gOoIDo0M3SfMkOOXCApcApp
YJt7TncGUfpJ1atdgHDe7lVnhZmc9W8s0OPa5Y3RecKP5+ZkqvR4wmQrYwGquL8O7PkOBCgTFXEJ
9O4KqeDCrmnLjbRu5llf23azMhRtBya0X8LWn1mFjbVnib1azGu3oHnkTYB8K/VzFrT6QujdM0I/
BHo0QykNw7NWUJSE4UWb3QOIt96fZ+CxNugDFZIDYKjIT6uQDp8Se+AjLLIFo/FsZMo6zaYzuL0v
hj4DiYVQAoK1JRsHzGkNFEARp0lUZ+G49yQuRH5uWQx5c8tbjYmePaZGAN2r6r8kbbePRvUh6woa
TuUh8lrK7ya+wdICS7j5gjBm1XVadQ2TYV0n832q6bLgSh9YgVdtYV0aJQCQr3pPit18GutxP+QQ
99sud7Do007SADKmnIBG6xQO4Z6MF5Zxc2LQ4iXEygb1ZG7ttk0f+kwZUqTeBXXYLAbfHd1VpsaI
KyC4VEMOrb2M3sze6JZTXzIT5sjgIV7UGqzYlAvA8HVtDT6W8tqovzgCoL4n0iNgMZbLaSyWUcng
NdHPZa7fQOAbFj3zvjFqX+lEL4Xq4T2ZTq09ArJk/WocxnmFVdyPk/KA8O4ui+lSMTpZVhlyVnca
TmSTz3D93duZ1Bpg/kl3aQAbryzY3VuzUIOFjfNt9HPN6KN/8OjqUlH/kQskszWBD+m2RW+CPCBp
gP1goG1rV0O6YXgn7TZfPFrr/lz7WHR87+Xupj2WV/Gq9MU2PgDRWkZbsA5XQPGT438au//7jfxn
UI/+TYH7Uvyf44t4L//ciJI/+KHGxQBr2jZhKjLR8WONq/9m6SAnLTCWFMEq5eX3Gtf5DQsF9Hds
HgCmfgBY0YlSHU1XoTF4GvK9f9WJ+tOAQwLmsYBYOs+Ro3+V4X18hLqBwYDNg6yW5yY0Ifw5yw9f
yi9c3ny+Dw+prKGRDNrYQ/iEumeZ0vb+4Qqw/1Kjc7ruhKDgKnbgwJ4869KaWy04w4JvtW+O7L90
lYPO/Icryt/owxX1EbzIjIDrlDCz5S0NBfYsEG85zY+yvQxN6V71gqLVTq1g0dpUT1NN0tYYWCuR
C2eVYDR8xsam71AFS3QRpjmtLUmlcqODhZ+OcO7Ur3DY9Ur6BXjiY4HzrpQWPIdYkUUSNtjypEHP
kFa9Rpr26GyEWxMfXysNfRwPjHVYxeUmYFkidRnjnyMtgMUM3D8g1kYZ6FfhEnT7Hpgykg0nRkCD
jxDXLLrcgJKgxmNoTnj27OESEBHL7mtswWGde1yJumvvClUaQfArlvgWKRfvG2lk7IvnHl8js59t
L42Ommg34DE2ZuVeRdIKGdmktygV9kgcBccS5uitw9ooDfRTW9yWIGy2dg36m2xyxvaRIi5oGPiD
LmfiespC8yDQGl4zYmDrbgXKrs6oP9OIOtBVOuK6OFROvBvT4dh4wbWiptfTbH/SZMh3jbQOVTG+
Rz1+hST7Ro/CWg2WeRwrk8QRY9mn1UEEBHZ10w6e+VkF3VUENeTp6TBM4wETXbkUM9iq0Br2ba9+
qjt9ZZolg/livrdQ7jDIm9LruCvORSo21EbX6ZxeqSWjrRHmBOplmplEk8Ot7hFumbCxKHPvazHR
61dQ5uh51e26bhAYTfX24sb1dKA1Za052+yz/M1ThpMZuTdt16AhjzKxiKJmrVX5VZDF565Qboe+
WEcKt6WULcSYOLNcvDkRdbBmJxedOBSvy9GijtrS0+2lmUwXWj0RsI8ezL25GZp+TXG8pNRZ5JqK
faJkCzLPecBcaBjZw0WW9jfjFN2Qw7prho7GovvInke8uNXcVTIeGXf6l8KgDxN4+HFQZ85BtkAs
TDZ6/66yVRfIPmuTIG5WsB0QG5ThBh1BZWDXDs940o8m9JLayjejaq2wTPndGOzbttwi1CGjQiyR
1l17nrfUB2XHQnGZ3FCgyFLbhcFUrfaMBxPdu84b4tdyPy6sbNqmg5XtmgzTaBx2qH2Vq7Sd71oJ
u58ycR1jokgwTCUJGh0OwpyGXf3F65IXeqzHEgUSWp4h9Qd6tHhOCISygt79Bq/4z6gol9O/3/QW
703x0rzFxa92Pn76+86nmb8x2ofk4OFrlkryP0YwRJa5KkuQqTomVL2PO5/F38Aa8ixm/Owcsif0
vbtj/AZiUSaOWzboZ+mA/BczGE3/sbtjgdXDLomP1WIHVmkzyb//sE94EP449NCmVlKqP0sm7Lq0
zXe2TN3tGxnAK2rBxMKeGATCAJgt1IRD3Sb3U5ImK2/mMHFdQCpcgkoLEYhiiegvqDcJ/e00UyYA
hyO5Ceh9sz7RWbG/ZQXDUmK2nDoyRFhlYQ3bjfgaL+wKNE2NJQIM3YrDBHYO5+QuL7P+3hRhogNG
UCfyxAmskEqqaF1BQZxLkbXbKWLOmVmd81BovYJ4jin0Q5V77rgwrGqefLNgT8QXzOEgpSw/G2lf
IcepkydkTqzTniZAyvZZcEKsHyKsd5P4OFNjdn4eQMv33dgOfK/Ud0Wo5n5uJN1RVZz82rGL/ian
T4HJI9VN4gWLnjk+YqUuq91nHSX/TBnulZiRm85GOeiS5cHukTk3CkrD2Z9FHm/xyMyvua7Is73J
PuNPam01TE88K6kCWghdWu7c3hAbq+GGtCz4Sv8kYnq9q7Sn02AmWhcVq8SLyFdezTpMAY7NgwFO
GPGkyz+bqibcOEA3Lm3TJ8+GV7QXz2kdrI+2hgSgNaM7BkXXnsFawwiOb/NcKGEPG7iVSoMwKEF9
RLrWBSeXQNmnNGt1yAldRjPE7jikDMQrZFvVkARKxZU0ylprkpEM1tgc3u3BDd+p150NLfEASXkE
7TKW4MtWwdKXK42zTN24fSQLtmpOci/07Vn814/+Vq7LF/yvV67je/FWvv5y0ZI/+H3RoiVN/5H3
EDGQ7CHzV7/PjU1pwEZpjTNFOmboO/9vuU4ElKpSkXveN4C9zFn8vmi5vzFONqQhhmXm3yxYli1L
5T/Oe7KUtkiEwmXNsYC+9M8INodIYRfktXLSlMxHjoqf1pzfgwFyaGpldLlod0GJXDdfG2CIhJob
T3bFdKdX6JA5slsWfm2ceYSOLpF2Np8wZtJYQ2aOFjsKJFyC9FLyvxEA6+6MrBwVc2t6iHlcKtOx
GdzNKOJx1VeKt240/bGgQ/4a1iSl1vpYrUuZnjrQ7Sa7Qo6ySv6tIVNWWRuaZygtJK/KDNY56q2r
oXCukqQxoG80OytCa9QS3drp3WcoEkxoZKprRn7SgmgZUKHTcZLJr7ljrRhY9deuTIXNG6KmIPzA
O5iAsEwyPbZJ4YuVsjc2eenKZXC80GXa7AywEcZPe05a9I/FJLInhrHTraZ9IluDqBCFsrAOo6VN
kG0yY1VAxXycSBtCMRmfyAB6bQGG2Jwp8ERT1rkyGdeRGbnCGeKrAnQFg08SdLGKqqvWkrG6DQNs
Bnxk7faVS94Fo9wT4lDyAYnkpeViIPA1iU8krTelq3GZGSPikzDTy0iobynTfT2Z80sCIj+UznO8
ZiRJ3rRvFBmp2TIcuJExwfPXxOBxNOm7uQ4ZlgleE0DlRRXcWlx20ycSLcSDXeyKpu8ZrpHwG9iK
e2R1gnAovOCY2vxwcdTqLriwnhIgY1mLqLBfwgbn1dDiBNVM7yllt1gFovrC2Dv3SQU7ZEGU09Kc
ThnOYuSr+Zdotpbg6mhE5XiJcyoBAEAuLRmcRJDP7V3T04QFkqL5fcK2lhCKq+f5xoz4H6/B2jpa
nUv5Ld1eZP0N/AJ00KTqrh9089hLqeZkOOQ6QzY/o9rBMtpgyaW6HGnK6y1JjFWSiUNTe/jredBO
4L3tdVNb9d42GSoqZYmhXDo03LnbGFH2nPUAidVR81HrtVfDCAol60NtbZmBe01i+VrJvTcdoZCd
5JeyIzpGMY5t5cBb1JXqelJwjeg2Ux2itrbSuyQ5MdmdmgQBbJB3oYz7OANMaTqHKSq9FWOPTT1O
KxvbLJ/55E7Fwcrxs/XK3tLiQx5huow7KzgWLj7q3K4MIpmINZzGcFdH1MlJv01rbpIbMZseOEgq
iYOfIXVfQtRJNEPj09iT5DgWHOEU0ee+69W+Zmc7T1grFw1n3riLAWoruV5fbCdmacnXqEzWZMv4
at+WoGnVmwq4UVQlO6c3994w+oNG6lck4BPiS713M4ZkZndPRURQReqVNhgIz74K3PlLVWs31tzt
nI74njxf2WI0fDUa95aS0irvXyLb2NhkQqKxq5g8uec2LW7cUn/zUt7hPDPehTfdmFiAlnldHad6
XiupSbCX4QPWRMqIrh6CKBQhlRooyF+But8N8nnU0mTXdNF5LsdTLiWKSSjNQ8CHSgAvXB5p8CUv
xuupnnwd1mwRdEvFZSA+KxvEC1sHmGNeJfQnYa5YktHKudSmJsqUaquQ253iMpqq8lQwhVgVBGoy
0KED0IVnXRAj3YfbUXWXeakcYDCsOfu/cBwFQDX6Na8IElY/aLSlyVgiENl7k72XQXczUj4krrqd
KAHJM3q0cOG3s7Gk2F4VAg9AoJ/gPty2wl4jo8G8ON6Yo3eXJTRtvYwZSzmomxzxmRd4PIGBjBhV
166Xf5ng4bHCrYFUEADkLm2XALSwjXYGbJpxbh5VTTDyd29tu3p0o/Ym7KdLl78VU/Veqyq0aZJL
HSNex3a1bmkip3SNIgwFoRFdCPo7lr1xg/jhi6aQi9SoUuMOQ0vdKl6/dVtCk6LsNrHKg0BjidQG
1ajXLmyrWgUKDCi1W/MqXreeu9aM9oouNResV2HFFzYW7bKsg2KBoOp16MpH/lNQOQJjObVm5fMm
1UvSzPypwNJYtH7hKnvcNrtZccAlORHlZ8qhm00iqgLQYdhnFp3tbHTRf8q74lnUpPRWzg6gCikJ
JtlootkWrrVDgIlUyCJPLekfh0b9VDbJTUmWkhwoxEHHd+etwkJsHWHxdDobuJYXgFT7Ch4uxfgt
LLitOwYnYm93hZlf9YFG+hwsy6KL1zmN/CqQfu2BJrd7SRrvYGjjU2XLaGSgl3T574PGpmhtT0Vr
3XQj6gVXa287aYXCewAzTvapswPMoavMrdXFAD6kkQvVXD5OqSAQydpUVcSbPTDLGvx2kEVPgYu8
uG+q6UrTETvi7TgpgRp8JvUju21JQfBnXVw1qgo5jfmRSNl4Ehwl9n0icozeA+4gvJZPWHlREKU4
BMNVGmtvNqGmhagf0ybaqbp2Yr0lbaJJN8Q678lv473MnNSfVe0pstpq7RnpXd6IjJ5LumEIfk5S
l4RHr4KLxzxFd51tkNoMTZR8Fc8lpi/M/4wSfG3Sl2kGQzgqzjAlNkkworuc3ioFPnqbvAhChSv2
P94AZktJ79A1CldNpBQ+5Av6PJxtMjaJ0Su2PRnLPQmUbUyoZe+sY3VcFWXF+tMCIQjHmcFYsces
tW+EdQfahb0Gg2WBsUHEpF9Gg3JV0AGsVGz1JqH2WkleoTjOSPbapnqlLwXumdF9kI3H3oRfwEjd
+WY1+Mvmp+z4/1whIjaUud2SIGr9JCsUQ9M0XVwoJzWHM5IuyvSGeea3A8RfXoQ69xcXsTVNpWvt
Yhf98dwMIke1LVNTTqP7uYHV0T2NILQMwG/RP1zpVwUvONTfryR/kw8n9DLANjUHXEl3ryOTSZmj
reZ5V9oPSfccl/Y3+NRffrBffnu8TaQsIE4CT/Pj5XTQI26QleG5V55Ft6/D1yL7ptn9y0v86hNR
LVMsy6YIU4EfLxHYzsj8t4rOOJSSYdOBmswi+rnhJmZqpYvrD0ec87c7/zE74hefCPs3hxY6Kehr
7J8ELBJXo0+qiM8xY+TYqBdduKnSf/hMf+63c7c/XET+/Ye71AaKsOyAiyT0SkRz4AS+/P/7GPJj
frhCL2YkeQVXAM8DYtBP8XuC+vn7i/x5UPHjx/jp1lTplFZ93sbnUQHFZ4GKO5toKDznyUJs2p50
HHp/f8Vf3R0wUXJyZ4PV/hlQm8b0cTAFxmenvtRq6KM6cIIv//4ahEihvDe4RdrPBHv8k6RW9k2C
DiRa4fp1itIns/bvL/Krr85wVKY7hkaMm/fT/WFK7ThxPCbcn6fCPkScFBMWAy+4TTBhwO0Zgsvf
X1E+Uz8tdCxxf1zxp5sF99trKm0ChzVCkG4/GRRQf38F7ce7Y6km4TCOSc4DAm2b9/WnxactTRKe
Ri0/J4dmJ3ZsnsfSt1bWJbqx/GIF/9VX1n9/zR8v+fWA/8On+umSgM4w7lR9cu5twOBoYXWPRaHc
/v1Vfv3dobmhAyvBvD/dLXsGuSugn58ZwPs65CPMnX9/Bfnt/3x3wNTxtNHbd1Dk/fi+Vq2OFa9V
krPD0XdydarN55h05jBJ/uGz/Oob+3ilnxY4TsRlg8Q2OWvWe+RerOC2nv9hefv1JeCgaB5BQ+Su
/fhhYoYhrjmH6bkoTlY3LkZgFXpn/8NW96tXiIft96v8dOvTBtjIFHKVOH3NFAIQlFVjri24s/i0
lHSTWf9wj/70sXTVBNhigj7wmE+bP5UKugcsInegpop+A4JgsFf1fPP3j8GfHrSfLkEv7eOyXfQh
X2hEkvmA11hTwuUEhPf/5RISbchM3KPP9uMlknHMlYyT1rnNXpV5h2j9Hy7wp0eZz+CSB897QuMN
HvqPF2DpdAZNjnep8/IOPmGyixMKU+/96wf5b56k86T/dVf2nL28vjd/VlDIn/q9Jfu1u2piTUNG
wKrFLfq9JUt0KOnKJpB607Losf7ekiUjkcrR4OAsRQealEl8bMlqRGnRzKUkInjxX5lEkSryCPyx
2qFsYCAly0UwmyB92QJ/fER6bIGmMJ3hJEYER6Ygk6qfbuCUgQ7zwhPyyuQVjGMBUMS4M4SR+L2h
BLeuM3xRInWNvMckTB24bggoC90+E10Hagt2yM9NSFdmzBxcM11xY3pZuFFBtm2GPjgCwUTQVDmf
IfTc2v38KcqFzSgVxp5e4X8nlGabOhWqwRb5gQM4j4HHes70W661HATaJsbCGOq7iRQftyMzfLaP
IsXOb6PBp0n3lrTu0WyCi2qOpyhst6WjVQv6GBc9UtU1ONJ+kRA1M+pOuZIHhYWjk2bPkcoPQp1x
cu0bNTpBmulgJCptq9FhXnsC3VgaC3fVTZWxMlIotmnWLEoj97ZBZd5BH1r0k7fsDGPVVa26wAsR
Qz2cdrOWmL4oIuyl6vxgeW/4YJaNPh7bNr9yevFIflLsVwm9TFOSx7qJgbbdA6Gzxum9V8tdrzmk
QSp0RdXoIdRwk0NT8jPoxfiE8HHG8zbRHTq9zrVjYnIqmwfmQJ8RG+ydMt0oMvWajmPdajsCdS6o
WAmkt+wbl28oiB36miUMtSy7bkyPbG71czrOZGOpTPqJxQXQ6wz3uW4+Ja53rVdAOARB0Ouq0yg0
R2ePD+IO/CdR9rP6EPdJxkQJjqER4AJurpGz7MMm9RZtlkFMjZ7HXrmrjO4wRuON8Oy1aiuPnZK8
Zh4LrQXkzW8q3CVzVrorvUURB/FG7eC61dI5mqWHAblP3RC2ZX7RKmuFvgJ6ZDevKwfYsm4CNo3o
fUm6iBo6mzlxrEVTlM9GYTM6bKXIZXwxu4HnS6tZH8MiXfSICBkjvgU8kV5DpLNJEBH5i1edPW1L
W6CZQSKjR8adhfw6jEFDMQ09a+oAHCMFqOl4XgQPY0qWSkT7dzKQuqhIqxPBlzQX2DWsiF65iYRP
2NXKq3L6ZHnjrWhogECiL3Ctd+XD2D6RN2Twzj3l9CnIiiPXM0zjBRzL+7Keoss0NN4uINZnATNo
3Jg9nWW1A0XT1VqymmTkZKxUXyz8q95h0GpRXIIoAJgvIDzM971V0gOwCCTDPhwGqXlbBAYGZSU0
HmI4TitT626pYGe8pIgMC5Nsq6FfMldNqMK9DdyjdskA1EWy32RXcWU6q5zO0KoajKeyt5D0z7xu
WcQjDRjURgzS+NBvDF9BWRy63njrVoBmyig6jdH8xmADK0HoLhGArlUEH11KzttM2N6qIP2OyWK4
zhzneiTcHmog7Rf3U2whQ3FRQQkXXIkQOzAisoUOmag8g7xaVz2A/llp9+BqgJn34sqMCjKAcNam
pn3Lt6ttAOBct0lzHuvuXoa1NwZkrDAYPre2+VCWxmOuOmQr0HJLMlCtdT3PazbqBysCMFHOeeTj
vLwegt5bFAPNqTTK4DNh9aPTQZIUu20trKdKAVul15RFRvplAjBTJc5DVcfQiczPTUtbSM0x3qOb
t7sS0U6NCMqoBzxIIlR8NdA+q2Ny4+rFgZtHEngyDyDBnXuAKANviEEOweBGK1ApS3tWzKVneTPU
1npZCl6miVfPmWWYnb5rQwTxcSRuCDbbdbp2hdhpH3TiwBCOxhQdMaj6YDMQfnqos3NgPY6bLM1c
m1dBKt6VCERo6dXJWgACWlQVIoLAU4gX66atXuC4CoMXZcpxC8z3ymQA7hynVwDJye0E09NvhmEL
PAjNM9OtpRPWr0MJnUBp1Aq+S3EfuzZC6eo1nh2oLbqaA7xptkqh3zOlyP2g4m5kTgBwNyWUInBZ
Noadk0PxCuxuWyXsDpV49fTBXLR5xrPW5t1gLTI1xADaqNI0rsIoWaF1bGkBi9Z71nO8bsf/KqKv
vinZV/rriuj6pXr5RT3Ez/xeD+m/oV2B9+1w1CZMQP9QD+mkpTK2RhaKsoYTyx/1EK4p29RxMVFB
QWpy+Kk/RtRUQx5/Y1gMsWUV9S90NYasx36uhyR8Q2NIijYNic2P9RCOoRy3vz6fKll5aLpAiU/A
wKKypnstqVEVuq8m6+kyqLrPahfg4hzDhTqa+9YKMgBkyr3X10vVmo7WTAPWYhylwxtiD4pPNkjk
KXDPPIFAZDSkfTWjjnT0joNhHcq83Liht+0SnXQVLAAuydQEjcCtEfZwa1tlhylEe1fsgrBlj05S
b4ZHx4btqBBjvHBrazXpwpKm1U0O+VC1BsevdPfBqYxzq2cny2Mz6Zqip0nfZ9Bap00wpogwLe9C
NMRtiPCssBj5TBZT4zArVULizfehDJPjPHcVwTpcZ7L6zaw0mLvAlSu2ts2VVF3Dl2uWCDmjlfBA
hTGhqq46NUxXeoU6r6MAXaZRDTrHWnt19jkk6k3QtMLY2266uqELjfp0M87Qlx2V7M4h3WImX42h
8KhYomVjZtqORNK9oUIG0gCTB+QtkI3HwhGkIMFTUhy9wb6ttdheT24jfAVsLll4jXlyMwSlA3Dn
ckanabVI9FzHQ0NrMIcuhN+K4LkN3bsE7CM+E2NrTsE7x0+WKQYJrmezjrCV0s7Aba2Y5raMArxn
aa7eTS4jIGe0dnkBbNsMqxv8m1vm2I4fWRTAITIkv4zbgPNdD5tRlXaAxIO2B+aYaJwJ8S7Z2iAY
XxutYORSaz0z6Vm/8WrNZXKTrv6HvfPqbWNJ8/5XOZj7FjqHi1lgmSmJypLDTYOyaHbO+dPvrxR8
LIn2rF8KWL7A4c1gjqwWWax66gn/4BkI4SJR702kSpFnTUtGAVNWjRl4u8nSrCVjsbVRoGolO1xC
bJp0Iv9rKD1GSDUF8wrRtXxRlNuUzB1dzmMFYtZWSrOpjSbi8SBYW3hELwtoXKWMKARaXAtdyqox
WfkUTxJj2tiopTRJepJAByNj/Z4Sl0c6RDG5az5ngjlmDv5dLbhkvubAKoNeBiFZnloQzmqIZ7Fg
oBVQ0QbBSUtRtahaY5UMNkdCuqsEew35STJYMBDmVj+3yLBqiG6GD9ECRAHct7CcB5DhIsGKk53q
6wBNrpHDW+xfSOAg0G1VmHSN4NQFSu5PC8Gz870EO8VwhZgY1QhMPNlxVgnUvEpw9FrIer7r36KI
nY+30tZDD1l+0PzsroHgJ0HaHhWC89dA/sNO4gvVEkPjyl5pgh+oCKagGepfaXydlIr1YA3lSQ86
e4BaSD7OJZQa551gHSZFPI8EDzGzzBONbAi/R3kkqd5VIziLIeRF1boJpane2ycZrEZH0BtdQXRM
YDz6DTSQKozA60IkREqFnIJLXNAkkZ+88AwgFSYMSq1FFR9GpSSZi0HgX8DjMQgvmN0U8C8jeJjk
qAzCw3Of5KXW+dZVJluNoG6G8fDVEWRORGvG8JDAsOFHKLieFaTPuh2WDiRQQA+wQRVlgv+gA9co
uK4i494RzNG6w0g+ya27rQSrVBH80gLBr5HmVdM4JxaOnCFCSChR+/hpWvBPD0Klm/abG3fTrB92
3bn81o87V/QgyDcpVVWNTj09gJ96EBCEURElFuBXJkY6LywOB36HiVIVhn4C5Kr8dOdi5gGDgwgJ
0uxPkWGaJrqDb1oQ4GgNclJa/Sbv4vWVi+lnpiFH1Z/7yYXWk/apbt+iMuvcdoPajuQeE1OH1Nce
oiu71+/7LJLQ8BzQYfKQ3UXKHU0BUucydM4BzabjTjLvHS9cRbVzRx1/Czz8O7PTWS6ycJ+ZSJTF
GVqopvBLG+ayGp8yqmVILLL4cNDOWhkyaYSB4yg3wztzaw4zLTVJBygDVG7zUaoan8OIbd4P9xLq
nU/SspQQtAYuCkoK33YVuh32dUyxkabd9syl/EhbgeqkIFFsBKi6BEVxShWtHyYBpQto1WVNKUPP
xwVJkswST/pUU+wAdRnR6T+LKIIGHXdrBDHcqZtAPxkolQJKptwGlqZRRIHcfUgd/7wMFZOOQN5f
D+jn+Y2L525WolFI0WUEGiY7QrRrS0WK1bTxJR6wCDZb15p2vhwdW6nvTKg/qPE6F3foNJjYovzT
hccxBSGuB8NIo0Q0gY9Mh8K4K/IGFufWL/RrWItc2qP6scTsIMcNt0rb4uAGXC3HAjqvZG8aAfEt
cHd7VJ3yhAKVSzU1yhGlss1mGiJSJQt1yhbVqlroVwXbLUB9SImWwB+7ADB0Cz4ByKxNFhirSOhg
MWv7OghlLCaH7chDLKtCNMsHmoKEFgYSaA8jqtUjrtUVGH2YyG2lqiyhtZQZI8VqVo5AyoY97kWI
dPW6eRwL1a4Y+a5cMfJbPQZSEuvc8ELgq6V+6uZdELgL33C1keS7CwZVeEnn2gn1iTJCbcpa9lLf
jQZExKQGqJKJrBhqa3PZb+yRMGa3ER4bHNQY5TSDYbpFAVKUrUi9zH3fs9BuGi4S1Z1pCJmVEu17
huR3QxR9ipA6SzXWjAD/WUYEDVuYW5AiX7Yx5axQSesqexEim1YWKBHKqbdwOxTVcEqZJkisxbhk
jVVE1xqwUAkibFXvT7HIOXEQZ1P87Ivpw9FxNZxKQ6HgFhXRDdfFLf2LBkFJvRSyUieAFaeZKPUr
60su9OBASa+KzLoaPIi3GmYPQjlO7sHQISVnICmnRunMQmKO+fx5JzTncnNQTzEKQPcGQbohbHCc
287C5CEM41HdYLNctu489VthqaILSVr8YExjYssu/6VFpaWyys8DNsdj11TXsYuEqCGH1VguEZeM
aObR9bsBi5yOujSyRlph3SBThK6l/GWwvVXkdJeaKs1JzZB1zZ0HN5YXgM/ZRla+bOqYDegKeFI3
dQN1YwR6xoFSbtjGn/H+8ggL6Vnlg3FxtAcHT6tpIIHAdtsQ+IWii3YirvFuQhVqes7IruDVGGEX
XfShcxUiPjPy+gx36QbD2rhXEAwynfvOrdZhlF+4SoFzrGW4k7KV3XHc5w5pjXGSIeV8MWj2XOpT
j96OKLCzRPnmipIbtP/tkKanWDLeK9TkYLz7BUQZaQrNGm33LeLMmVeC6ELzBNmZTZpZw7RGmAUJ
nEyg/nIudsxmRqZoCASiNeDqkKDpFVT0DHx6Bx49hEI0E+QW1gHdhY4uAxU8fSf6DlnlySNDtCKY
C00CL0ZC29KfRtD/XPli5vjrK/96/Q1Y4yapdlFY+M0f1z4ilCoXuIySGPKUb0YPiJMIUuPTT/it
l2sfyLdm6vA30QJhdCSmEn+X2jLa3IjMAJzBPgGg+B+U2kDS39/70GF4d4yryUzeTqe0oEnofHXt
eRfZ5P6kATN4xsE0C0RY7yrCXVhi+2fozZc2iE+ysnPmJpao9Md8RLn7LdY8ia0ACzenFG40cvvE
Ej6g0gk8ibXhqsMZAj4bpCxKsKoAd7PIvdZqyVzhww7cutHyWdY1+RlsG4iT3l3ltdNWTgAIOvYx
3nnHeqF8D7v+rvXo0evheR4VE/itC8dnJOEEsTfyY+ylgwhuIvSbaMIVhbKYsI5hJrQJLP22NaWv
YSNtkOMA4od32LiD6gc6LH7IY7DYoSydVXJTT1AZErIiVMuNY973HqA0gBfKOGI4wAgFl0F0+u68
OL1UzS2Y2wJIaI9ibV5XzXRboIq22vpLMLZXeWmutMjdDLSH++TCVLJ2ohXhWUKbfeiCTzGeMK7q
fvMS46YxsJyQg+/9VoS1SL20gaLjCTXI02ZbUhdVID5rwGJ15EWzropQZHa0fAKP5TreVsYE8Li+
oNALxlrkFcyAapr2KYZBsa8M4xKK21SqzHICCWgRelwbsaTNazr9V4YSqZOO+2AU9LTVFR+BbCMF
klyg4w7iv0U52VayY5oNVyluUSM0j+U5NcaScYQ/KbTKnyHlYCxq1+nDu2QrWduVWg7xp6A0oGJG
AG5ZvmYYd5oJXb7zWxSJ7e+lg0+315x7VYEg+WP3r3rsBBbg+x7iKLWkiQOjc+HrijszSlOBVuR3
4xJLIHqSPdw+vU1X8aD6t5TTdwWcgoVmOl9Dv4Ov1+Bq0+qBOpGyupipvX3jJO1Si0ExFi72ngP9
gUJRbqXaVSY14XPaocU+RzZ+exXrcT6ySjU5LxMyMJm11Mpm1Xl9esMOoJ2jW8iO5lF3gbB7ObXr
NrvBpOm+BKtzYoUqDMvA22SKB/5R7+WpjzOXZKcuDSjG/9g6KDR5q3pR1G6xUAszus7NPAJabiU3
odojAaf4Hq2D7Ca10eOpTCYcNTQefEYXncmIpHbRJw20msoy7c9bYPcYMhaIBIQAwg1fbU8qU6Gm
911sAHp53bnZOPfaOzL3jGaL3ENkxnhhqzv9SO10aQlRCBnTADn3ZMjdiW9XybzL0vBbqBnlIqrb
fDQgmxq2Xrdo6B1Mi8oZcJen+Ad6i/BKqynuqbfV7JXd9GclQ1PyBAkDsNTnZMZNMQPF3E0qNSlX
ko3qUIlqB6STbpj+0/R9bPpqIFN+dx8lf402WPbsuo/4zR/3kXxEiQdwkM4vj33FTlJo/TLT5joA
WC8LUeSX+8g8ElUmKlOCjKkJmYiX68g8UiiF+E8mYM5HiuYfXEea9a4MdVRDgaGJPBfFLhyl12Vo
WfcGwiC2hEtAHIwjxq2+K4RcTdyqlSqdhVa/kEod5rEXX3ILOePGL7JRm4efUHFKJ1Q0y6HAESsL
GEdT6aYjte3dSZ7b7cQvy/s27u6w+vqayfmqr7XlgE70KVquxVTHb8vNtFt6lfNYiTkdVXTVqTRu
IOF8MxV/3FhmOXY1+dKRUYJrbZdZZlB8kjvre6eb3Sxos+tYDW4tRYzNQmZEtURKFzvoItdZPfEV
vI1DqZ1hkZBN8lTCbAyhSUXCMDiUiKwYb4xQPTmGdNP6E7pJ3GcYXUgTt9O/ZlEj9ZdB29jNDAh9
C68kLSsiUh7IGTWnoqN9mamjNG2dWQZpEFRbH09VwhdMAW3aYCSCzVZwUQc9Gu1JNI5ThGRqOXio
LGvjyroDr9pGcqA6gy6qlqnF3BFJ/tZBBIAM99rqlHCEnvPXIMKrpXMKddp3NEpx+Tgx3bI8zuXk
Ple9ACX9yEvlKfNjrmQz1tXL/NGk3LOMSdvjpuZRXVo1JoQdEySu688JPiuxMDzPhi495fbvx5Ll
TBOLdsI2Wya4pJdKOY8RUYtwT+8M9zOu7JQ8Ic7qKTaRyPXIS4WJJYrzJR41wojdNdOISRPK7ryf
TxDH/eOGEfs0Y/nAv7uoyLRafO7a8g0DfBoBqApgvGmd6AjIU9G0uX8XlpIaocAAtmSKx8ZqUPtL
3HQpFc0yJ+dgMF5k8vUWTAO6/1Dg4QjlW2cmdeqCFODSCKylGw3zsKkX+FyWk6ba3lR2fN45zVzt
VLgucoMlCN98i8hkYNRLPQ4+GVZ6Y6VYtnG1xRKu7k5RLvBDvsmS4bRo/esirj+jcr9QEKsYBZGX
oWuNdNfga3Osd4wZI0V11ln9qZlgkcNXHozqOtjgQzFqCt6b1G+NKbYgiGmq7oiW/1wbjK9qgXar
EJ2p6mjFFPEqNvJs2RvV9hSl5Wu/bu8TqZzG5U1RK8qYQu1y6wWTrMQNLhuOC1O5k52gBcgfzEu/
WPiwiMFlaCu/DL/G9ZYWumXOMkS8RxqWQzhl0fSWUMDJ+3btuEo6leN2MpgD7R9yAwbMKpdZWkqT
VOkmqm3ca5lsTmQ3uB623nmr6J/yoj31DOUuymVlKquohyXC4jKUzlzZmSNOflYDFUGgMrlvXMpu
mrOnzpbmFtOXkyjinynOSVvV1agt4qW9rU8bwWvQ42HadZpGGwb1sNBuI3WGN0IPsEJK4itPBvc5
ksztl0C43Rioy+Kx+p1B9yL0my+l09JhQLzM5i1o9tcKRlxc69I45XanZ4NhIU6f2+xzb0ErUUUK
2urmqa3WV7aSg//vqPiLQvvs18USGQLYQo0LIVG/1CAgAZi8VBPHR2muWRnYlI07I5m7SWEvAbUu
vNCa+3b4Ce/oU6hstxbUIlzH5avK0ydqhuFVkp+Ecv0pjPXrwue7iLPmmx6Lzl2x8huVYgCpr20P
wCfwm0Wk5ie5o16xSY7TmnTWKxDwdBmCYLXCrmo+x2oOH1OPZk0pX6RRi6qpciJpkKlyZBt05Jlk
sIgVnqrx0C5aCEe4tZx2ToW85nCJylI1suJ8pWnFSZexZW0SsLiMbjEd/RrCm9RzY1kV+gaWzrGX
mks493dN6V8bdnkDFj8aAR+fNYZHS91GJiRbKjFCGAM+G65anPZVcpxA5ybnaGHNhCf+kHztIu0a
NBQ6J7D0lTSXxwGaxXrjz5IsOzfi9MS37O//5CZPuQkZwe9zk4m/2e5KTfjFl9REMY/QOZK5+x9H
yKLX/dIhR+2B1rTtILmNY/lj8/wlNUHlk39O0vJ31vKSmyCOpOma5jgydIk/zU2UN6pATLV5GONv
euc6WgYAX1/nJtiVeCVKLNpKsU2mNkaYV9tqXJtGiN8IrH8a2c1gFYgiy5mKzWfSD9c18LIteJdT
rQ6sdegJc15GXHL+NbAiRbmgu8t8OmjoPY3KJnHO47QajrdaHfnLvOrVG+jckrFUSrmQRo6DJlvs
au5x2JsyCohhGCjXvkVD7gSdh6j85iRb9HEKLSuMSyFQ36BovaEt5U/SxK+57HVQenM5YKLn5Cjg
XVV5Xy31SOU+x+s2BF4i9zXtW4uGnpV78omKV+xJkedopCQJc2Wvc/JxkRfVtJZ7/wTjJ+Sl3SEj
UsAUXNdlQndNz11a+oiqD+Mw8eoLTzXWfZ98tcLtt8AkBiOjj7yhaWyyKt7grwD9solz/QE+2NiW
k7Gab9slSkbGrAqlGmjx1hw1qkzDoQ1rhVlwyzieqP5JkSgvnLB1v3W+2SxKLVGXHv6Np6ijA15U
ClB4eY0aW5blczAF6bigfEHrL+nGhp3h2VQQKBzAkHy52cSs0A1sS3diV/GJXTvA9d3CWpGUDstQ
p1vhq7AhdXQl0UvEc2mLmpvW28E4LesEm6lwktnOBhFuCYvAYREphNTAN+e9CzZNKuMQmFfBPFLv
PuvwAydhOzQjdErmqSKMz3BhqrwCMSGto3HqUT46kVDENuCrB1KmnjPKDxF2MrSrxDSTTSDrxXGc
+8mnoIGqCWwLlmUTPKnE/dPh0xm0/SZqpdF6l0CN+K2XkKUqxCVNAQMMB+eN+wzeqLIJrBzejIZG
Gpjel5BlE5cchaCl2TIsO+Es8BKykB/WCC3ga3RCGkYBf9LdU2ye9HaqhzIyoRFJY0AGj0Cbn2hP
uh0HhV6r/bmNRdyFFfTxFUWI9RnBd/W4b8PwS6/gS21Xjbxq0bsdIXniTTDoHu4sp62uPTmN5oAI
/RMOqTu1pKqYJn6OOxnKnpGYYzei7jdEB4A9y+83tqxP6FWgUoo16kKyneNOpRIqKw+R7kwLv/lc
6vMgYUSOIzhiNXQUv8aetz1GFmygu1QFE1V0KErbzsZ90d85aj5mxrju3dgCA0pfo8Lc4CQRvY4i
hUjOlNIFVSCfoxOXjmo/RCHAxOwALTI6QioJqKNV4CnQY8CcMgg2GQ1+/bJK4glIwu13K8i+eN3W
nSI3S+KYHQcgVISfIa6cgwPClmL6YqtsP8thT9tdK2Z6llwa5AxTQDbSvDK3A5C7WjtmYmVNIy06
UaS8XKKJ5kw4xvo8jBJ92jC1XJgKIyc8FcPjPM4oONPmcijAVmQR/FIwJMNIMjjsIYBZdeucBRpD
qaZndaRa8q78Fo1IWnrKeYm4xqS32gwKf3lcq8HXPLPoLUVIToDuCqYK0B8P3/oKiWa+MKkFGRQJ
jJALWCjQJUagoIc6YETxI55IIIsagTHqABtJIagjCGUpgA6QSC3FIipw1wCXL0GWa6Ow6+Yq4CX1
EdmqC0RTAbQJ2MxFCtRJ3paMuAA/ZYCgOoGGsoBFuQIfZQqkVCQwU2VpQLlO4pMSOJUhcFWl2V43
HtCcUgUGz7xLH4FXOUdTd5EAy2qAZwXAtDLgWp7AbQ0CwWW65gV+NLMBaFc8+IiQAPZydHDZg4B/
9dkkAw6GE1Q0GQCIYWTDT4CMxWpxrwkMmQOYjOHqnInWLQLMXAlAyBG4BnlWPUIk8tDArJehfv1N
F/rdyqOUt5t2pw7O9JyK2A9PFRO3I+DiUXqcORDKLaXoTrcYbC7/SSEfU0gh6/ibYFyt8eiJyB8I
vvA0q3758O9/KT9+80dAxpnFJhrrwCaAKL7SgxdMD1CLsPIeG1Wvxi0yDAyVRNFSIUsg+v4jIKOV
Sa8Mmx2NNtcfu7YIGc/XAdmWkS3TbRvCFJFQFkyQnwKyZEtaWHRRel4DWhpW4KyM4EzR5UCdVqi9
X5BWNAC+IuPMyPKLWuAct4xDCjW+aRR69DSmTnO1+IJW4HFUJld+DIJPws9XC+BzGMYKkVngg1Y7
32rNdlKUIVzK9tMQJBvHh9SQNmoJPtpML43tMFNiOv4e/tK1y9RR1ZHKi6pgVSF62YERobnfJMq9
CmCelsI2mrU4j+BDYWmFf6yGZgVYSZFgqsvMSqAgZ1pgIiEpa/glNdnS8q14nlvAqSN70G80t6K7
4mKHWGPZsPX00yLwyy8BDqaTutFiddbUTYCJSB2cWGVi0v5zjBJxnAKHPqe0i4A5utUM07wgf57G
MGK3wKS7+5psHL2C5JOVoVDM9Ijcix5e5pvrzCX/ttq8uwzsqGV8n664fpi4l0BKAdzBWGN87Tna
NHVpecnunYQ5YWVJV40Vj5OmpXZNJkABTrvWOHcak6FMZo6LSL3qS3+d4fAU1Sh4p1W9wouQFBBR
D2RUMvCqylVTS0tToTvg5mf2NvuuatjISO2CNsIx3hiLrZufbp3kLFa7szot7jFPvHK8aKEG5m2I
o7hnIFugbM9NOlo4x2bXUYblVoKJRibPW6O8KirwJh0+X6b+KbZM4Hj22rHL4yhoGfXGmoqW2feE
pooemWdaW0/b1J7r2YDeTbly/fKCsfMXkO+IuNuTTMJg1PLOhjRGQ6YfwTs4Q0RoUXbqp4FJS4Mq
iU43he8Sgkw7czzvDG/zs1Jz4JcYuJtWx4ERzNG//KoawQxbt1WmVffbFCkG8dVvLeeGUR48HGVu
mx0cD7wia0c+q1Vv0ufBWWHSJ8S7tBqkW8PTllEgvuEa544wXpbgMG0ELxw33ziM95ok+oRgx20q
e/Q1pJmbGaeabs8AqJ/JQQNrp1dOW727b3gTKAbhEpQop3BKjm1LGRdedbq1UIn2EZvuvGVa0nGw
+2JTWOpV43RXBbiAkbttjEvELue+2XpnpqtTCajxeRHJwRK58FzUAylKa9zQiDF1+TmyBvA82FK1
oy+jppTGOWxz2mPOQ7/tzpABAcSvIba+vezyypx0OKI0UWRNtDz/WgU9208zJ1kG3CdH7EXS3K9D
Ea1asJUzO65vKHSQC9esUahX5VRNBx/GC+oUWow0kuQxAYJukUxVT1m5un6lFwAXUUsFPdDxjTeB
cxFk0rzU6Y83QbrIEI1H0A+7IXTUV1VQz0N8dAxU5OUWYCy7g29LJYFy6vIiR8t1nOjlCZ4rwl20
RKeUzowbnmo5uA0N21bcfTNVMLXy+BuetHwZg4RwJ7o/gYtoCj5/l0ZkL+FDaJMixZopCTFLcQeq
HQksVgoTb6x62NYEfnYa+3jfhih941n3uUKvAoN3JHqkeDirFW3Vhf6DqQF0lWwV0heQh06Mg5Og
uTIT9Q4y07GEWLUt1dEsQtNrLPvtykC2bNToRABIn9nYyZJ6ouZuPUKYK58FdX+a5rSGTc0/D8P8
tjExfaUMu9maAKY9xUdUEVSQHZ4DJlfGXk5BpxUBYPM4ge0vKl9Dak8H1KROPAP59f9f7v7nWnGy
rtbIA3H7Xtabor/alHhtly8DH/HTi9RPqpv0/+0f/f5Bz/f+DTJB//7X+gFhAwY2VeF/q7iu3+YE
COW9ziYe39jju/7tc6I1n65+4C9o5hF5BDUYuMvHF0O0KE22zz+WIKcfkSpQ3Yl0gczlpzX61Sr8
/gM+Lefv/81v3/zbRRB6pK9Sqj9fBPtIZD/Q/Gl2vf708hHkEWFoyhiR19Of+j9eg5/3ATUnydcf
f3w+5t9bwDpSDRRWHNQaXz7kq0XAItBkjGKB54SpwutAN4JQk/zjlWBX/7QUxpGKnI3ikLXuXApV
PjIRmkeL/jAXQX/5dp6Edn7Eqj8KCUJzWAdtjRLK44vp9Kv9gPSnSoEBWvtAN4LMO95zIwBNUwEQ
qM9LIPb86zUgMDgO1Y3wHeB1EIFhxw0hI/Sw91KAfAD4YIjNxYtT9mopCA+MJSyk+Ime/K3/4+i4
axGeNuo+ZwKGgqJi5vurRRAtUoIogeFgd8L+uQJtW5qvDo3e3TuBwEAbwTYs5SkSH95OMJ626D47
QeeKQCWXlvbuReA4kC8oyFUd6iLI5Hh7xwTwUKoiQFSPLw7Yq5gg7kmkoDgxT8OHw9sJYq655yLw
RYuPSGT8xSLAP2an0FV7OnqHtwjP53Sf4wBmzsTVEXD30yIQ/t7uBBl5GbDch5kx8bbfzsf+uH7Q
FbTLBctcREfxepcxETRkEIXw2w70ihTiZnseB5tKkok2d+TbLcDyIFrN/PBg78b9KwcTLoOCRpzy
XCO9TRhFlmRjUGUrBxsMnr6dfYKBSlIMOg1Q61MweNtMUIwjgzUyUJp7/AcHux+eYtU+SyEorRBX
EXZ4expIkhCSg9lyqLHgnZ3bHwdEzRJyYxZ2bULYcFdApISEzku0ONQtoOxdOGF2gQEFioHvt4B+
RCzUZGrsp+U50EtB/4hjoGhCPg6JlcfX2+JRtBfBwgM1O9REUQD09rwZTWHiRDjgdnz5vl/lSIpN
SHDgo9uHWjIo+3dUMIUx0ASw9eeQ8HYnsAiwIejDCmAQr4MNDPtXT8aRBuiJXsLTLSg+6uv9gOgB
qSQn52nZD69wEILp+x0KoiNZgMme+EXCJLqMmo4hKGISB70f9i8kzSO+aTqqL0djR+4I1MMhiB7s
fti7hkKHlPkCqaHzq5YCHTYUQmxGUQd6XT5n9vtljZSJBEAGTo+vd30V9QhIpSKkUg50Ed7xyf88
eQQ4ChSJngEEPfF6V00DcULPTeefHHZk2PtQECQ5EzrWw0/bQXTuXt0Uos/GjwXi60D3g/4R6ZOD
vjwC3EIoj9fbzIGbgtEtE7vDzSH3T6StIxYBBDxk1l8tgqFByUAo6VB3wlNGt094tI5EgkhwfK6b
3u0E5egRc4iH9oEugrp34vRUW9NvtZ+Dwo7s0TGhAgGEf9oqB7oUz9/RHvtB9F01hYV4mVS/TZyI
DCajSyxsDzVneB4X7rEIj4kTX7QFxeLlOnx9R2g0n/EIxi/1QHeCcCPYr5pgEbAUBdyMg9jj613O
IB9xS6L7JlRW+VuHV1I9jwb22QmER9l0TNv8VXgknUCtlQr7sBMn0TDbcz/QTADHLhxPng7Fu8SJ
6pK8SSZ4HOp+eApZe+wHwiO2Duz5l8SJZX0dGVDJQHcJmuehhkdj75xBdGGprsmcnrPHd5GBkop9
gNTz0986wMiwf4eB4wA+50dgeFdSCdACKTS191OmeniL8E4X5s/rStqwBr1mptVPd8S7bIHzIqNd
RM/pUGPC0w2+R0zgolShSIJfeZ7XvwuMKLmBfyQoHOoiPM/N9lkEGm6aLPqKv0a8Ym8Ie8k41MAo
hHX3vCI1hrUAGFG7fzoOb4sp1AjgkFFUH2wr/p1l0p/HBNT+hUM8qeEv8gSOA6QLBU7G0+tAI4O+
f7ZAMiBY3HC5n5ZiR+9RE8IVj36fB5lCC0epvQ+FY8sGepRPa/B+NEOODeiNTvyhXpTPIWuf8Eiv
yRZujmSPj6+3HQa6jhpC9Fh5HWp4FKome+4EZvSA9xSEUJ4W4e1FSXhkjbC7PNSN8I5q/OfR0aK7
DM8Vy9WnNXgXEoiO8HyF8sOBxsXncn+f0wCoSaF8ANj0pnxiB+CcZ7NFnhPKQ12D/ctpCyiLjOEN
JcLLNfi6kkQGREULDLHeA12E55x+n40giigyBUGW2x0WmUNgD4TE8KGmzsIPYc+wyN3AYcD4+7n7
/DYsAuhRHUbZwlRdvA61qBbWD3suhX30LJfwnDC9W4rHyIHYqKAV8rcOr6gWZrZ7LoIuDr4YO/0C
xkFnwcRvVqe/8hI5DnMp9s8YgHzi4gWo76m7umtYyw9ZLELEHx6N/8XW+UFQHnt+9PBITfY35S4G
86/+wQsn9/3PfyIePxJOX/1LQVV++uNPzFzx///rNXP5cev/9NOXo/D4l55///kjvv/jr/7Yy+d6
+Y8Lf1Osi29e//iD/vmNnqFZ/+9//XfE/7w3rBHl7guFdjfN+seR+P3TMz/ZvDzob50Wwbj7+6O+
53D/7x4erx/S4uVBPz2ccLr3w1FYq3a9cbK7vZ89Xkfrhq+kfHnWT++d+Lj/89OoLtcvD/rp4Rzf
D3h4UhXrv5Cxq3b9CSZHe/+JySb66ywtdq4/WcPez59Gf03Sgs3z8qyflogbb+/nz4pNuUsuTpDd
9n74PNokyctzfnrjH3FcF3V8n0YP1fvHC6T33m99GWebwl9HL4/6+90rH3Fklyjs73j0R5zYk02x
Y83FRGjvRTnxk+2OQKB8xFk9XYc7YpiA4O39tk/XZbnZtSYfcUBP0/Kv/062m2iza2U+4oiu1g8E
4Jd1+GkjfsQRXa0Lf9fSfMQRFc/O0l3RXaBm9v5aV5vkIf3m74peAoXxAc8vvm0eXh7097qLwf7+
D0957y/P+enZH3FMV+nONfmIU8qjq02x6Xe88484qb/xAH7U79kjvTv7ndnhvg8/L9aEgB2L8hFH
9CJaf9vsyB3FtGTvfXgR1fGu5E5AePZ++JVP6lj6DztWRrT2937+f3Sz2vd7vV7/B3uSj/kDRbIu
HnYGMtH3/oBlSv76nZD5R3yIGSfgm19+25HVaB9xzYpv4jhd5/Wu20q0wT5klU5rv/zr/N4vs12f
4yMOs/gcqzWueC/v+O/YL1qtH/EpqvVfo3Vxv96VM4gG0Qf9jXG0+y98zMFO+BRjRMxf3u7fyyQA
6Pt/BG+9syYUY9f9H04PY+fif8hhxnLE79P65X3+tDAfcQNf/04+fO9AQWIS78hkRe92/1X/T1q7
e7970WbZcQ8LVu3e7/5m4613LY0g5u3/cHJ81A9fnvT3lhFwvP2fXhMJdlzxAtfzAQ+nQRTv6suJ
ufjej7/jCfWusyqEhfZ++pc02hHnhTTH/o+u73ccJOM/X7W72rI/Rhnvm7Uv6o67fu11L1r8i2/R
Zl381/8AAAD//w==</cx:binary>
              </cx:geoCache>
            </cx:geography>
          </cx:layoutPr>
          <cx:valueColors>
            <cx:minColor>
              <a:schemeClr val="accent4">
                <a:lumMod val="60000"/>
                <a:lumOff val="40000"/>
              </a:schemeClr>
            </cx:minColor>
            <cx:maxColor>
              <a:schemeClr val="accent4">
                <a:lumMod val="50000"/>
              </a:schemeClr>
            </cx:maxColor>
          </cx:valueColors>
        </cx:series>
      </cx:plotAreaRegion>
    </cx:plotArea>
    <cx:legend pos="t" align="ctr" overlay="0"/>
  </cx:chart>
  <cx:spPr>
    <a:pattFill prst="pct5">
      <a:fgClr>
        <a:schemeClr val="accent1">
          <a:lumMod val="40000"/>
          <a:lumOff val="60000"/>
        </a:schemeClr>
      </a:fgClr>
      <a:bgClr>
        <a:schemeClr val="bg1"/>
      </a:bgClr>
    </a:pattFill>
  </cx:spPr>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microsoft.com/office/2014/relationships/chartEx" Target="../charts/chartEx1.xml"/><Relationship Id="rId2" Type="http://schemas.openxmlformats.org/officeDocument/2006/relationships/image" Target="../media/image1.emf"/><Relationship Id="rId1" Type="http://schemas.openxmlformats.org/officeDocument/2006/relationships/chart" Target="../charts/chart1.xml"/><Relationship Id="rId6" Type="http://schemas.openxmlformats.org/officeDocument/2006/relationships/image" Target="../media/image2.emf"/><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6.xml"/></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hyperlink" Target="https://chandoo.org/wp/" TargetMode="External"/><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hyperlink" Target="https://chandoo.org/wp/" TargetMode="External"/><Relationship Id="rId1" Type="http://schemas.openxmlformats.org/officeDocument/2006/relationships/image" Target="../media/image4.png"/><Relationship Id="rId5" Type="http://schemas.openxmlformats.org/officeDocument/2006/relationships/image" Target="../media/image6.png"/><Relationship Id="rId4" Type="http://schemas.openxmlformats.org/officeDocument/2006/relationships/hyperlink" Target="https://chandoo.org/wp/excel-school-program/" TargetMode="Externa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26</xdr:col>
      <xdr:colOff>289077</xdr:colOff>
      <xdr:row>39</xdr:row>
      <xdr:rowOff>0</xdr:rowOff>
    </xdr:to>
    <xdr:sp macro="" textlink="">
      <xdr:nvSpPr>
        <xdr:cNvPr id="5" name="Rectangle 4">
          <a:extLst>
            <a:ext uri="{FF2B5EF4-FFF2-40B4-BE49-F238E27FC236}">
              <a16:creationId xmlns:a16="http://schemas.microsoft.com/office/drawing/2014/main" id="{F9E27EF1-6475-4056-9B2D-07FD188CFBD5}"/>
            </a:ext>
          </a:extLst>
        </xdr:cNvPr>
        <xdr:cNvSpPr/>
      </xdr:nvSpPr>
      <xdr:spPr>
        <a:xfrm>
          <a:off x="272143" y="0"/>
          <a:ext cx="15681477" cy="7217229"/>
        </a:xfrm>
        <a:prstGeom prst="rect">
          <a:avLst/>
        </a:prstGeom>
        <a:solidFill>
          <a:schemeClr val="accent1">
            <a:lumMod val="40000"/>
            <a:lumOff val="60000"/>
          </a:schemeClr>
        </a:solidFill>
        <a:ln>
          <a:noFill/>
        </a:ln>
        <a:effectLst>
          <a:outerShdw blurRad="50800" dist="38100" algn="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3</xdr:col>
      <xdr:colOff>152400</xdr:colOff>
      <xdr:row>39</xdr:row>
      <xdr:rowOff>0</xdr:rowOff>
    </xdr:to>
    <xdr:sp macro="" textlink="">
      <xdr:nvSpPr>
        <xdr:cNvPr id="4" name="Rectangle 3">
          <a:extLst>
            <a:ext uri="{FF2B5EF4-FFF2-40B4-BE49-F238E27FC236}">
              <a16:creationId xmlns:a16="http://schemas.microsoft.com/office/drawing/2014/main" id="{CA7D0FAF-34BE-934A-41F3-189602121CAD}"/>
            </a:ext>
          </a:extLst>
        </xdr:cNvPr>
        <xdr:cNvSpPr/>
      </xdr:nvSpPr>
      <xdr:spPr>
        <a:xfrm>
          <a:off x="0" y="0"/>
          <a:ext cx="1783080" cy="7132320"/>
        </a:xfrm>
        <a:prstGeom prst="rect">
          <a:avLst/>
        </a:prstGeom>
        <a:solidFill>
          <a:srgbClr val="46765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1</xdr:col>
      <xdr:colOff>0</xdr:colOff>
      <xdr:row>1</xdr:row>
      <xdr:rowOff>152400</xdr:rowOff>
    </xdr:from>
    <xdr:to>
      <xdr:col>1</xdr:col>
      <xdr:colOff>1028700</xdr:colOff>
      <xdr:row>3</xdr:row>
      <xdr:rowOff>76200</xdr:rowOff>
    </xdr:to>
    <xdr:sp macro="" textlink="Pivots!G4">
      <xdr:nvSpPr>
        <xdr:cNvPr id="6" name="TextBox 5">
          <a:extLst>
            <a:ext uri="{FF2B5EF4-FFF2-40B4-BE49-F238E27FC236}">
              <a16:creationId xmlns:a16="http://schemas.microsoft.com/office/drawing/2014/main" id="{2D303841-4531-6DA9-E96F-E273BEBC9C82}"/>
            </a:ext>
          </a:extLst>
        </xdr:cNvPr>
        <xdr:cNvSpPr txBox="1"/>
      </xdr:nvSpPr>
      <xdr:spPr>
        <a:xfrm>
          <a:off x="266700" y="335280"/>
          <a:ext cx="102870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9B4681-2813-44C1-B8B2-68FF19E88B7D}" type="TxLink">
            <a:rPr lang="en-US" sz="1000" b="1"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83000">
                    <a:schemeClr val="accent1">
                      <a:lumMod val="30000"/>
                      <a:lumOff val="70000"/>
                    </a:schemeClr>
                  </a:gs>
                </a:gsLst>
                <a:lin ang="5400000" scaled="1"/>
              </a:gradFill>
              <a:effectLst>
                <a:outerShdw blurRad="50800" dist="38100" dir="2700000" algn="tl" rotWithShape="0">
                  <a:prstClr val="black">
                    <a:alpha val="40000"/>
                  </a:prstClr>
                </a:outerShdw>
              </a:effectLst>
              <a:latin typeface="Aptos Narrow"/>
            </a:rPr>
            <a:pPr/>
            <a:t>2,400</a:t>
          </a:fld>
          <a:endParaRPr lang="en-IN" sz="1000" b="1">
            <a:gradFill>
              <a:gsLst>
                <a:gs pos="0">
                  <a:schemeClr val="accent1">
                    <a:lumMod val="5000"/>
                    <a:lumOff val="95000"/>
                  </a:schemeClr>
                </a:gs>
                <a:gs pos="74000">
                  <a:schemeClr val="accent1">
                    <a:lumMod val="45000"/>
                    <a:lumOff val="55000"/>
                  </a:schemeClr>
                </a:gs>
                <a:gs pos="83000">
                  <a:schemeClr val="accent1">
                    <a:lumMod val="45000"/>
                    <a:lumOff val="55000"/>
                  </a:schemeClr>
                </a:gs>
                <a:gs pos="83000">
                  <a:schemeClr val="accent1">
                    <a:lumMod val="30000"/>
                    <a:lumOff val="70000"/>
                  </a:schemeClr>
                </a:gs>
              </a:gsLst>
              <a:lin ang="5400000" scaled="1"/>
            </a:gradFill>
            <a:effectLst>
              <a:outerShdw blurRad="50800" dist="38100" dir="2700000" algn="tl" rotWithShape="0">
                <a:prstClr val="black">
                  <a:alpha val="40000"/>
                </a:prstClr>
              </a:outerShdw>
            </a:effectLst>
          </a:endParaRPr>
        </a:p>
      </xdr:txBody>
    </xdr:sp>
    <xdr:clientData/>
  </xdr:twoCellAnchor>
  <xdr:twoCellAnchor>
    <xdr:from>
      <xdr:col>1</xdr:col>
      <xdr:colOff>0</xdr:colOff>
      <xdr:row>4</xdr:row>
      <xdr:rowOff>0</xdr:rowOff>
    </xdr:from>
    <xdr:to>
      <xdr:col>1</xdr:col>
      <xdr:colOff>1028700</xdr:colOff>
      <xdr:row>5</xdr:row>
      <xdr:rowOff>60960</xdr:rowOff>
    </xdr:to>
    <xdr:sp macro="" textlink="Pivots!H4">
      <xdr:nvSpPr>
        <xdr:cNvPr id="8" name="TextBox 7">
          <a:extLst>
            <a:ext uri="{FF2B5EF4-FFF2-40B4-BE49-F238E27FC236}">
              <a16:creationId xmlns:a16="http://schemas.microsoft.com/office/drawing/2014/main" id="{51B48944-7395-4DD3-914C-09EBD98C7B8E}"/>
            </a:ext>
          </a:extLst>
        </xdr:cNvPr>
        <xdr:cNvSpPr txBox="1"/>
      </xdr:nvSpPr>
      <xdr:spPr>
        <a:xfrm>
          <a:off x="266700" y="731520"/>
          <a:ext cx="10287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BD592A5-B265-4359-9E8B-009BA8CB7F7C}" type="TxLink">
            <a:rPr lang="en-US" sz="1000" b="1"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83000">
                    <a:schemeClr val="accent1">
                      <a:lumMod val="30000"/>
                      <a:lumOff val="70000"/>
                    </a:schemeClr>
                  </a:gs>
                </a:gsLst>
                <a:lin ang="5400000" scaled="1"/>
              </a:gradFill>
              <a:effectLst>
                <a:outerShdw blurRad="50800" dist="38100" dir="2700000" algn="tl" rotWithShape="0">
                  <a:prstClr val="black">
                    <a:alpha val="40000"/>
                  </a:prstClr>
                </a:outerShdw>
              </a:effectLst>
              <a:latin typeface="Aptos Narrow"/>
              <a:ea typeface="+mn-ea"/>
              <a:cs typeface="+mn-cs"/>
            </a:rPr>
            <a:pPr marL="0" indent="0"/>
            <a:t>11,997</a:t>
          </a:fld>
          <a:endParaRPr lang="en-IN" sz="1000" b="1"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83000">
                  <a:schemeClr val="accent1">
                    <a:lumMod val="30000"/>
                    <a:lumOff val="70000"/>
                  </a:schemeClr>
                </a:gs>
              </a:gsLst>
              <a:lin ang="5400000" scaled="1"/>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1</xdr:col>
      <xdr:colOff>0</xdr:colOff>
      <xdr:row>7</xdr:row>
      <xdr:rowOff>38100</xdr:rowOff>
    </xdr:from>
    <xdr:to>
      <xdr:col>1</xdr:col>
      <xdr:colOff>1028700</xdr:colOff>
      <xdr:row>9</xdr:row>
      <xdr:rowOff>0</xdr:rowOff>
    </xdr:to>
    <xdr:sp macro="" textlink="Pivots!I4">
      <xdr:nvSpPr>
        <xdr:cNvPr id="9" name="TextBox 8">
          <a:extLst>
            <a:ext uri="{FF2B5EF4-FFF2-40B4-BE49-F238E27FC236}">
              <a16:creationId xmlns:a16="http://schemas.microsoft.com/office/drawing/2014/main" id="{ACA01560-ADD2-4C2B-A6E3-3AA1EA37485C}"/>
            </a:ext>
          </a:extLst>
        </xdr:cNvPr>
        <xdr:cNvSpPr txBox="1"/>
      </xdr:nvSpPr>
      <xdr:spPr>
        <a:xfrm>
          <a:off x="266700" y="1318260"/>
          <a:ext cx="10287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F786FB6-815D-4DE8-BE24-C0D38AA4BB73}" type="TxLink">
            <a:rPr lang="en-US" sz="1000" b="1"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83000">
                    <a:schemeClr val="accent1">
                      <a:lumMod val="30000"/>
                      <a:lumOff val="70000"/>
                    </a:schemeClr>
                  </a:gs>
                </a:gsLst>
                <a:lin ang="5400000" scaled="1"/>
              </a:gradFill>
              <a:effectLst>
                <a:outerShdw blurRad="50800" dist="38100" dir="2700000" algn="tl" rotWithShape="0">
                  <a:prstClr val="black">
                    <a:alpha val="40000"/>
                  </a:prstClr>
                </a:outerShdw>
              </a:effectLst>
              <a:latin typeface="Aptos Narrow"/>
              <a:ea typeface="+mn-ea"/>
              <a:cs typeface="+mn-cs"/>
            </a:rPr>
            <a:pPr marL="0" indent="0"/>
            <a:t>$649.0k</a:t>
          </a:fld>
          <a:endParaRPr lang="en-IN" sz="1000" b="1"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83000">
                  <a:schemeClr val="accent1">
                    <a:lumMod val="30000"/>
                    <a:lumOff val="70000"/>
                  </a:schemeClr>
                </a:gs>
              </a:gsLst>
              <a:lin ang="5400000" scaled="1"/>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1</xdr:col>
      <xdr:colOff>68580</xdr:colOff>
      <xdr:row>10</xdr:row>
      <xdr:rowOff>7620</xdr:rowOff>
    </xdr:from>
    <xdr:to>
      <xdr:col>2</xdr:col>
      <xdr:colOff>0</xdr:colOff>
      <xdr:row>11</xdr:row>
      <xdr:rowOff>106680</xdr:rowOff>
    </xdr:to>
    <xdr:sp macro="" textlink="Pivots!J4">
      <xdr:nvSpPr>
        <xdr:cNvPr id="10" name="TextBox 9">
          <a:extLst>
            <a:ext uri="{FF2B5EF4-FFF2-40B4-BE49-F238E27FC236}">
              <a16:creationId xmlns:a16="http://schemas.microsoft.com/office/drawing/2014/main" id="{A766260D-F172-4DF2-8BD5-31A60DA43D00}"/>
            </a:ext>
          </a:extLst>
        </xdr:cNvPr>
        <xdr:cNvSpPr txBox="1"/>
      </xdr:nvSpPr>
      <xdr:spPr>
        <a:xfrm>
          <a:off x="335280" y="1836420"/>
          <a:ext cx="10287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7D039B1-64B4-4B7B-AABF-16FCD933B77B}" type="TxLink">
            <a:rPr lang="en-US" sz="1000" b="1"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83000">
                    <a:schemeClr val="accent1">
                      <a:lumMod val="30000"/>
                      <a:lumOff val="70000"/>
                    </a:schemeClr>
                  </a:gs>
                </a:gsLst>
                <a:lin ang="5400000" scaled="1"/>
              </a:gradFill>
              <a:effectLst>
                <a:outerShdw blurRad="50800" dist="38100" dir="2700000" algn="tl" rotWithShape="0">
                  <a:prstClr val="black">
                    <a:alpha val="40000"/>
                  </a:prstClr>
                </a:outerShdw>
              </a:effectLst>
              <a:latin typeface="Aptos Narrow"/>
              <a:ea typeface="+mn-ea"/>
              <a:cs typeface="+mn-cs"/>
            </a:rPr>
            <a:pPr marL="0" indent="0"/>
            <a:t>4.0</a:t>
          </a:fld>
          <a:endParaRPr lang="en-IN" sz="1000" b="1"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83000">
                  <a:schemeClr val="accent1">
                    <a:lumMod val="30000"/>
                    <a:lumOff val="70000"/>
                  </a:schemeClr>
                </a:gs>
              </a:gsLst>
              <a:lin ang="5400000" scaled="1"/>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1</xdr:col>
      <xdr:colOff>45720</xdr:colOff>
      <xdr:row>12</xdr:row>
      <xdr:rowOff>38100</xdr:rowOff>
    </xdr:from>
    <xdr:to>
      <xdr:col>1</xdr:col>
      <xdr:colOff>792480</xdr:colOff>
      <xdr:row>14</xdr:row>
      <xdr:rowOff>0</xdr:rowOff>
    </xdr:to>
    <xdr:sp macro="" textlink="Pivots!K4">
      <xdr:nvSpPr>
        <xdr:cNvPr id="11" name="TextBox 10">
          <a:extLst>
            <a:ext uri="{FF2B5EF4-FFF2-40B4-BE49-F238E27FC236}">
              <a16:creationId xmlns:a16="http://schemas.microsoft.com/office/drawing/2014/main" id="{DF521496-B079-4C77-A253-D591FCADF009}"/>
            </a:ext>
          </a:extLst>
        </xdr:cNvPr>
        <xdr:cNvSpPr txBox="1"/>
      </xdr:nvSpPr>
      <xdr:spPr>
        <a:xfrm>
          <a:off x="312420" y="2232660"/>
          <a:ext cx="74676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6E1E818-B137-401A-AF1C-231F6FD08298}" type="TxLink">
            <a:rPr lang="en-US" sz="1000" b="1"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83000">
                    <a:schemeClr val="accent1">
                      <a:lumMod val="30000"/>
                      <a:lumOff val="70000"/>
                    </a:schemeClr>
                  </a:gs>
                </a:gsLst>
                <a:lin ang="5400000" scaled="1"/>
              </a:gradFill>
              <a:effectLst>
                <a:outerShdw blurRad="50800" dist="38100" dir="2700000" algn="tl" rotWithShape="0">
                  <a:prstClr val="black">
                    <a:alpha val="40000"/>
                  </a:prstClr>
                </a:outerShdw>
              </a:effectLst>
              <a:latin typeface="Aptos Narrow"/>
              <a:ea typeface="+mn-ea"/>
              <a:cs typeface="+mn-cs"/>
            </a:rPr>
            <a:pPr marL="0" indent="0"/>
            <a:t>2.3</a:t>
          </a:fld>
          <a:endParaRPr lang="en-IN" sz="1000" b="1"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83000">
                  <a:schemeClr val="accent1">
                    <a:lumMod val="30000"/>
                    <a:lumOff val="70000"/>
                  </a:schemeClr>
                </a:gs>
              </a:gsLst>
              <a:lin ang="5400000" scaled="1"/>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1</xdr:col>
      <xdr:colOff>0</xdr:colOff>
      <xdr:row>0</xdr:row>
      <xdr:rowOff>113760</xdr:rowOff>
    </xdr:from>
    <xdr:to>
      <xdr:col>1</xdr:col>
      <xdr:colOff>845820</xdr:colOff>
      <xdr:row>2</xdr:row>
      <xdr:rowOff>0</xdr:rowOff>
    </xdr:to>
    <xdr:sp macro="" textlink="">
      <xdr:nvSpPr>
        <xdr:cNvPr id="12" name="TextBox 11">
          <a:extLst>
            <a:ext uri="{FF2B5EF4-FFF2-40B4-BE49-F238E27FC236}">
              <a16:creationId xmlns:a16="http://schemas.microsoft.com/office/drawing/2014/main" id="{3ADCCB4C-3506-40B8-561F-4F0948E1EB39}"/>
            </a:ext>
          </a:extLst>
        </xdr:cNvPr>
        <xdr:cNvSpPr txBox="1"/>
      </xdr:nvSpPr>
      <xdr:spPr>
        <a:xfrm>
          <a:off x="266700" y="113760"/>
          <a:ext cx="845820" cy="25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n>
                <a:noFill/>
              </a:ln>
            </a:rPr>
            <a:t>Orders🛒</a:t>
          </a:r>
        </a:p>
      </xdr:txBody>
    </xdr:sp>
    <xdr:clientData/>
  </xdr:twoCellAnchor>
  <xdr:twoCellAnchor>
    <xdr:from>
      <xdr:col>1</xdr:col>
      <xdr:colOff>0</xdr:colOff>
      <xdr:row>3</xdr:row>
      <xdr:rowOff>0</xdr:rowOff>
    </xdr:from>
    <xdr:to>
      <xdr:col>1</xdr:col>
      <xdr:colOff>944880</xdr:colOff>
      <xdr:row>4</xdr:row>
      <xdr:rowOff>83820</xdr:rowOff>
    </xdr:to>
    <xdr:sp macro="" textlink="">
      <xdr:nvSpPr>
        <xdr:cNvPr id="13" name="TextBox 12">
          <a:extLst>
            <a:ext uri="{FF2B5EF4-FFF2-40B4-BE49-F238E27FC236}">
              <a16:creationId xmlns:a16="http://schemas.microsoft.com/office/drawing/2014/main" id="{9B45692E-94A5-D35D-D8B1-2AE11C05D533}"/>
            </a:ext>
          </a:extLst>
        </xdr:cNvPr>
        <xdr:cNvSpPr txBox="1"/>
      </xdr:nvSpPr>
      <xdr:spPr>
        <a:xfrm>
          <a:off x="266700" y="548640"/>
          <a:ext cx="9448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n>
                <a:noFill/>
              </a:ln>
            </a:rPr>
            <a:t>Quantity 👕</a:t>
          </a:r>
        </a:p>
      </xdr:txBody>
    </xdr:sp>
    <xdr:clientData/>
  </xdr:twoCellAnchor>
  <xdr:twoCellAnchor>
    <xdr:from>
      <xdr:col>1</xdr:col>
      <xdr:colOff>0</xdr:colOff>
      <xdr:row>5</xdr:row>
      <xdr:rowOff>121920</xdr:rowOff>
    </xdr:from>
    <xdr:to>
      <xdr:col>1</xdr:col>
      <xdr:colOff>1089660</xdr:colOff>
      <xdr:row>7</xdr:row>
      <xdr:rowOff>45720</xdr:rowOff>
    </xdr:to>
    <xdr:sp macro="" textlink="">
      <xdr:nvSpPr>
        <xdr:cNvPr id="18" name="TextBox 17">
          <a:extLst>
            <a:ext uri="{FF2B5EF4-FFF2-40B4-BE49-F238E27FC236}">
              <a16:creationId xmlns:a16="http://schemas.microsoft.com/office/drawing/2014/main" id="{3B606647-5C78-8FA3-6524-D19EFBBB454C}"/>
            </a:ext>
          </a:extLst>
        </xdr:cNvPr>
        <xdr:cNvSpPr txBox="1"/>
      </xdr:nvSpPr>
      <xdr:spPr>
        <a:xfrm>
          <a:off x="266700" y="1036320"/>
          <a:ext cx="10896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n>
                <a:noFill/>
              </a:ln>
            </a:rPr>
            <a:t>Amount💰</a:t>
          </a:r>
        </a:p>
      </xdr:txBody>
    </xdr:sp>
    <xdr:clientData/>
  </xdr:twoCellAnchor>
  <xdr:twoCellAnchor>
    <xdr:from>
      <xdr:col>0</xdr:col>
      <xdr:colOff>243840</xdr:colOff>
      <xdr:row>8</xdr:row>
      <xdr:rowOff>167640</xdr:rowOff>
    </xdr:from>
    <xdr:to>
      <xdr:col>2</xdr:col>
      <xdr:colOff>0</xdr:colOff>
      <xdr:row>10</xdr:row>
      <xdr:rowOff>114300</xdr:rowOff>
    </xdr:to>
    <xdr:sp macro="" textlink="">
      <xdr:nvSpPr>
        <xdr:cNvPr id="19" name="TextBox 18">
          <a:extLst>
            <a:ext uri="{FF2B5EF4-FFF2-40B4-BE49-F238E27FC236}">
              <a16:creationId xmlns:a16="http://schemas.microsoft.com/office/drawing/2014/main" id="{9B6B320E-D055-6DE5-6266-DB37E2C7681E}"/>
            </a:ext>
          </a:extLst>
        </xdr:cNvPr>
        <xdr:cNvSpPr txBox="1"/>
      </xdr:nvSpPr>
      <xdr:spPr>
        <a:xfrm>
          <a:off x="243840" y="1630680"/>
          <a:ext cx="11201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n>
                <a:noFill/>
              </a:ln>
            </a:rPr>
            <a:t>Avg Rating</a:t>
          </a:r>
          <a:r>
            <a:rPr lang="en-US" sz="1100">
              <a:ln>
                <a:noFill/>
              </a:ln>
            </a:rPr>
            <a:t>⭐</a:t>
          </a:r>
          <a:endParaRPr lang="en-IN" sz="1100">
            <a:ln>
              <a:noFill/>
            </a:ln>
          </a:endParaRPr>
        </a:p>
      </xdr:txBody>
    </xdr:sp>
    <xdr:clientData/>
  </xdr:twoCellAnchor>
  <xdr:twoCellAnchor>
    <xdr:from>
      <xdr:col>1</xdr:col>
      <xdr:colOff>0</xdr:colOff>
      <xdr:row>11</xdr:row>
      <xdr:rowOff>0</xdr:rowOff>
    </xdr:from>
    <xdr:to>
      <xdr:col>2</xdr:col>
      <xdr:colOff>0</xdr:colOff>
      <xdr:row>12</xdr:row>
      <xdr:rowOff>38100</xdr:rowOff>
    </xdr:to>
    <xdr:sp macro="" textlink="">
      <xdr:nvSpPr>
        <xdr:cNvPr id="20" name="TextBox 19">
          <a:extLst>
            <a:ext uri="{FF2B5EF4-FFF2-40B4-BE49-F238E27FC236}">
              <a16:creationId xmlns:a16="http://schemas.microsoft.com/office/drawing/2014/main" id="{A8E7BEA7-8111-BF8F-D4EE-89EAFE80EE7E}"/>
            </a:ext>
          </a:extLst>
        </xdr:cNvPr>
        <xdr:cNvSpPr txBox="1"/>
      </xdr:nvSpPr>
      <xdr:spPr>
        <a:xfrm>
          <a:off x="266700" y="2011680"/>
          <a:ext cx="109728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n>
                <a:noFill/>
              </a:ln>
            </a:rPr>
            <a:t>Avg</a:t>
          </a:r>
          <a:r>
            <a:rPr lang="en-IN" sz="1100" baseline="0">
              <a:ln>
                <a:noFill/>
              </a:ln>
            </a:rPr>
            <a:t> Days📆</a:t>
          </a:r>
          <a:endParaRPr lang="en-IN" sz="1100">
            <a:ln>
              <a:noFill/>
            </a:ln>
          </a:endParaRPr>
        </a:p>
      </xdr:txBody>
    </xdr:sp>
    <xdr:clientData/>
  </xdr:twoCellAnchor>
  <xdr:twoCellAnchor>
    <xdr:from>
      <xdr:col>4</xdr:col>
      <xdr:colOff>0</xdr:colOff>
      <xdr:row>0</xdr:row>
      <xdr:rowOff>160020</xdr:rowOff>
    </xdr:from>
    <xdr:to>
      <xdr:col>10</xdr:col>
      <xdr:colOff>594360</xdr:colOff>
      <xdr:row>13</xdr:row>
      <xdr:rowOff>0</xdr:rowOff>
    </xdr:to>
    <xdr:graphicFrame macro="">
      <xdr:nvGraphicFramePr>
        <xdr:cNvPr id="21" name="Chart 20">
          <a:extLst>
            <a:ext uri="{FF2B5EF4-FFF2-40B4-BE49-F238E27FC236}">
              <a16:creationId xmlns:a16="http://schemas.microsoft.com/office/drawing/2014/main" id="{A1482529-5D0B-44AC-A8FC-BE8977CFAF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12</xdr:col>
          <xdr:colOff>0</xdr:colOff>
          <xdr:row>3</xdr:row>
          <xdr:rowOff>0</xdr:rowOff>
        </xdr:from>
        <xdr:to>
          <xdr:col>19</xdr:col>
          <xdr:colOff>0</xdr:colOff>
          <xdr:row>13</xdr:row>
          <xdr:rowOff>0</xdr:rowOff>
        </xdr:to>
        <xdr:pic>
          <xdr:nvPicPr>
            <xdr:cNvPr id="24" name="Picture 23">
              <a:extLst>
                <a:ext uri="{FF2B5EF4-FFF2-40B4-BE49-F238E27FC236}">
                  <a16:creationId xmlns:a16="http://schemas.microsoft.com/office/drawing/2014/main" id="{D6EC9FFB-7F5F-A712-0A51-72D2808D545D}"/>
                </a:ext>
              </a:extLst>
            </xdr:cNvPr>
            <xdr:cNvPicPr>
              <a:picLocks noChangeAspect="1" noChangeArrowheads="1"/>
              <a:extLst>
                <a:ext uri="{84589F7E-364E-4C9E-8A38-B11213B215E9}">
                  <a14:cameraTool cellRange="Sheet1!$H$4:$L$9" spid="_x0000_s5148"/>
                </a:ext>
              </a:extLst>
            </xdr:cNvPicPr>
          </xdr:nvPicPr>
          <xdr:blipFill>
            <a:blip xmlns:r="http://schemas.openxmlformats.org/officeDocument/2006/relationships" r:embed="rId2"/>
            <a:srcRect/>
            <a:stretch>
              <a:fillRect/>
            </a:stretch>
          </xdr:blipFill>
          <xdr:spPr bwMode="auto">
            <a:xfrm>
              <a:off x="7130143" y="555171"/>
              <a:ext cx="4267200" cy="185057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20</xdr:col>
      <xdr:colOff>38100</xdr:colOff>
      <xdr:row>1</xdr:row>
      <xdr:rowOff>76200</xdr:rowOff>
    </xdr:from>
    <xdr:to>
      <xdr:col>25</xdr:col>
      <xdr:colOff>38100</xdr:colOff>
      <xdr:row>13</xdr:row>
      <xdr:rowOff>76200</xdr:rowOff>
    </xdr:to>
    <xdr:graphicFrame macro="">
      <xdr:nvGraphicFramePr>
        <xdr:cNvPr id="2" name="Chart 1">
          <a:extLst>
            <a:ext uri="{FF2B5EF4-FFF2-40B4-BE49-F238E27FC236}">
              <a16:creationId xmlns:a16="http://schemas.microsoft.com/office/drawing/2014/main" id="{9090C141-38D6-4E07-ABD1-D8A48FABCD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14</xdr:row>
      <xdr:rowOff>60960</xdr:rowOff>
    </xdr:from>
    <xdr:to>
      <xdr:col>11</xdr:col>
      <xdr:colOff>0</xdr:colOff>
      <xdr:row>38</xdr:row>
      <xdr:rowOff>175260</xdr:rowOff>
    </xdr:to>
    <xdr:graphicFrame macro="">
      <xdr:nvGraphicFramePr>
        <xdr:cNvPr id="7" name="Chart 6">
          <a:extLst>
            <a:ext uri="{FF2B5EF4-FFF2-40B4-BE49-F238E27FC236}">
              <a16:creationId xmlns:a16="http://schemas.microsoft.com/office/drawing/2014/main" id="{106C0B49-573A-4F0A-B30D-4D4D848CD6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426720</xdr:colOff>
      <xdr:row>29</xdr:row>
      <xdr:rowOff>121920</xdr:rowOff>
    </xdr:from>
    <xdr:to>
      <xdr:col>8</xdr:col>
      <xdr:colOff>548640</xdr:colOff>
      <xdr:row>38</xdr:row>
      <xdr:rowOff>175260</xdr:rowOff>
    </xdr:to>
    <xdr:graphicFrame macro="">
      <xdr:nvGraphicFramePr>
        <xdr:cNvPr id="14" name="Chart 13">
          <a:extLst>
            <a:ext uri="{FF2B5EF4-FFF2-40B4-BE49-F238E27FC236}">
              <a16:creationId xmlns:a16="http://schemas.microsoft.com/office/drawing/2014/main" id="{5E13B117-F8F7-4438-B5BD-45F5AA0B69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0</xdr:colOff>
      <xdr:row>58</xdr:row>
      <xdr:rowOff>0</xdr:rowOff>
    </xdr:from>
    <xdr:to>
      <xdr:col>4</xdr:col>
      <xdr:colOff>7620</xdr:colOff>
      <xdr:row>59</xdr:row>
      <xdr:rowOff>7620</xdr:rowOff>
    </xdr:to>
    <xdr:pic>
      <xdr:nvPicPr>
        <xdr:cNvPr id="17" name="Picture 16">
          <a:extLst>
            <a:ext uri="{FF2B5EF4-FFF2-40B4-BE49-F238E27FC236}">
              <a16:creationId xmlns:a16="http://schemas.microsoft.com/office/drawing/2014/main" id="{D463D379-32D0-D4AB-CAD0-A1AA13AB211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630680" y="1060704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58</xdr:row>
      <xdr:rowOff>0</xdr:rowOff>
    </xdr:from>
    <xdr:to>
      <xdr:col>4</xdr:col>
      <xdr:colOff>7620</xdr:colOff>
      <xdr:row>59</xdr:row>
      <xdr:rowOff>7620</xdr:rowOff>
    </xdr:to>
    <xdr:pic>
      <xdr:nvPicPr>
        <xdr:cNvPr id="22" name="Picture 21">
          <a:extLst>
            <a:ext uri="{FF2B5EF4-FFF2-40B4-BE49-F238E27FC236}">
              <a16:creationId xmlns:a16="http://schemas.microsoft.com/office/drawing/2014/main" id="{EA2118C2-0E5E-7B32-82CE-0B78B700E64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630680" y="1060704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264160</xdr:colOff>
      <xdr:row>14</xdr:row>
      <xdr:rowOff>77047</xdr:rowOff>
    </xdr:from>
    <xdr:to>
      <xdr:col>18</xdr:col>
      <xdr:colOff>568960</xdr:colOff>
      <xdr:row>38</xdr:row>
      <xdr:rowOff>177438</xdr:rowOff>
    </xdr:to>
    <mc:AlternateContent xmlns:mc="http://schemas.openxmlformats.org/markup-compatibility/2006">
      <mc:Choice xmlns:cx4="http://schemas.microsoft.com/office/drawing/2016/5/10/chartex" Requires="cx4">
        <xdr:graphicFrame macro="">
          <xdr:nvGraphicFramePr>
            <xdr:cNvPr id="23" name="Chart 22">
              <a:extLst>
                <a:ext uri="{FF2B5EF4-FFF2-40B4-BE49-F238E27FC236}">
                  <a16:creationId xmlns:a16="http://schemas.microsoft.com/office/drawing/2014/main" id="{973724B7-590D-47F8-A26E-CB9D2C12C2D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771640" y="2637367"/>
              <a:ext cx="4572000" cy="448951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0</xdr:colOff>
      <xdr:row>14</xdr:row>
      <xdr:rowOff>118534</xdr:rowOff>
    </xdr:from>
    <xdr:to>
      <xdr:col>25</xdr:col>
      <xdr:colOff>0</xdr:colOff>
      <xdr:row>27</xdr:row>
      <xdr:rowOff>101600</xdr:rowOff>
    </xdr:to>
    <xdr:graphicFrame macro="">
      <xdr:nvGraphicFramePr>
        <xdr:cNvPr id="26" name="Chart 25">
          <a:extLst>
            <a:ext uri="{FF2B5EF4-FFF2-40B4-BE49-F238E27FC236}">
              <a16:creationId xmlns:a16="http://schemas.microsoft.com/office/drawing/2014/main" id="{5597FAB0-C0B3-4EE3-9559-7157B0CE52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0</xdr:colOff>
      <xdr:row>29</xdr:row>
      <xdr:rowOff>0</xdr:rowOff>
    </xdr:from>
    <xdr:to>
      <xdr:col>25</xdr:col>
      <xdr:colOff>0</xdr:colOff>
      <xdr:row>39</xdr:row>
      <xdr:rowOff>0</xdr:rowOff>
    </xdr:to>
    <xdr:graphicFrame macro="">
      <xdr:nvGraphicFramePr>
        <xdr:cNvPr id="27" name="Chart 26">
          <a:extLst>
            <a:ext uri="{FF2B5EF4-FFF2-40B4-BE49-F238E27FC236}">
              <a16:creationId xmlns:a16="http://schemas.microsoft.com/office/drawing/2014/main" id="{F06383BA-BBF2-43BB-8E4A-5C9B78373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234043</xdr:colOff>
      <xdr:row>14</xdr:row>
      <xdr:rowOff>0</xdr:rowOff>
    </xdr:from>
    <xdr:to>
      <xdr:col>3</xdr:col>
      <xdr:colOff>0</xdr:colOff>
      <xdr:row>24</xdr:row>
      <xdr:rowOff>68580</xdr:rowOff>
    </xdr:to>
    <mc:AlternateContent xmlns:mc="http://schemas.openxmlformats.org/markup-compatibility/2006" xmlns:a14="http://schemas.microsoft.com/office/drawing/2010/main">
      <mc:Choice Requires="a14">
        <xdr:graphicFrame macro="">
          <xdr:nvGraphicFramePr>
            <xdr:cNvPr id="28" name="Order Mode">
              <a:extLst>
                <a:ext uri="{FF2B5EF4-FFF2-40B4-BE49-F238E27FC236}">
                  <a16:creationId xmlns:a16="http://schemas.microsoft.com/office/drawing/2014/main" id="{3EBC9E39-FBF9-4CBD-B6B3-B0934BB8FA55}"/>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234043" y="2590800"/>
              <a:ext cx="1409700" cy="19191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239487</xdr:colOff>
      <xdr:row>25</xdr:row>
      <xdr:rowOff>0</xdr:rowOff>
    </xdr:from>
    <xdr:to>
      <xdr:col>2</xdr:col>
      <xdr:colOff>228601</xdr:colOff>
      <xdr:row>33</xdr:row>
      <xdr:rowOff>152400</xdr:rowOff>
    </xdr:to>
    <mc:AlternateContent xmlns:mc="http://schemas.openxmlformats.org/markup-compatibility/2006" xmlns:a14="http://schemas.microsoft.com/office/drawing/2010/main">
      <mc:Choice Requires="a14">
        <xdr:graphicFrame macro="">
          <xdr:nvGraphicFramePr>
            <xdr:cNvPr id="29" name="Gender Value">
              <a:extLst>
                <a:ext uri="{FF2B5EF4-FFF2-40B4-BE49-F238E27FC236}">
                  <a16:creationId xmlns:a16="http://schemas.microsoft.com/office/drawing/2014/main" id="{B00BE934-F5FC-468A-B26D-6CC9822FE8BC}"/>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239487" y="4626429"/>
              <a:ext cx="1360714" cy="16328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3</xdr:row>
      <xdr:rowOff>99060</xdr:rowOff>
    </xdr:from>
    <xdr:to>
      <xdr:col>1</xdr:col>
      <xdr:colOff>944880</xdr:colOff>
      <xdr:row>5</xdr:row>
      <xdr:rowOff>0</xdr:rowOff>
    </xdr:to>
    <xdr:sp macro="" textlink="">
      <xdr:nvSpPr>
        <xdr:cNvPr id="43" name="TextBox 42">
          <a:extLst>
            <a:ext uri="{FF2B5EF4-FFF2-40B4-BE49-F238E27FC236}">
              <a16:creationId xmlns:a16="http://schemas.microsoft.com/office/drawing/2014/main" id="{5DBE6003-D59B-163B-A6C0-AD2D1675732B}"/>
            </a:ext>
          </a:extLst>
        </xdr:cNvPr>
        <xdr:cNvSpPr txBox="1"/>
      </xdr:nvSpPr>
      <xdr:spPr>
        <a:xfrm>
          <a:off x="266700" y="647700"/>
          <a:ext cx="9448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endParaRPr lang="en-IN" sz="1000" b="1"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83000">
                  <a:schemeClr val="accent1">
                    <a:lumMod val="30000"/>
                    <a:lumOff val="70000"/>
                  </a:schemeClr>
                </a:gs>
              </a:gsLst>
              <a:lin ang="5400000" scaled="1"/>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0</xdr:col>
      <xdr:colOff>38100</xdr:colOff>
      <xdr:row>5</xdr:row>
      <xdr:rowOff>76200</xdr:rowOff>
    </xdr:from>
    <xdr:to>
      <xdr:col>1</xdr:col>
      <xdr:colOff>861060</xdr:colOff>
      <xdr:row>7</xdr:row>
      <xdr:rowOff>0</xdr:rowOff>
    </xdr:to>
    <xdr:sp macro="" textlink="">
      <xdr:nvSpPr>
        <xdr:cNvPr id="44" name="TextBox 43">
          <a:extLst>
            <a:ext uri="{FF2B5EF4-FFF2-40B4-BE49-F238E27FC236}">
              <a16:creationId xmlns:a16="http://schemas.microsoft.com/office/drawing/2014/main" id="{8E1746F3-6122-43FA-336F-C64642382A7C}"/>
            </a:ext>
          </a:extLst>
        </xdr:cNvPr>
        <xdr:cNvSpPr txBox="1"/>
      </xdr:nvSpPr>
      <xdr:spPr>
        <a:xfrm>
          <a:off x="38100" y="990600"/>
          <a:ext cx="10896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ln>
              <a:noFill/>
            </a:ln>
          </a:endParaRPr>
        </a:p>
      </xdr:txBody>
    </xdr:sp>
    <xdr:clientData/>
  </xdr:twoCellAnchor>
  <xdr:twoCellAnchor>
    <xdr:from>
      <xdr:col>13</xdr:col>
      <xdr:colOff>413657</xdr:colOff>
      <xdr:row>0</xdr:row>
      <xdr:rowOff>174171</xdr:rowOff>
    </xdr:from>
    <xdr:to>
      <xdr:col>17</xdr:col>
      <xdr:colOff>413657</xdr:colOff>
      <xdr:row>3</xdr:row>
      <xdr:rowOff>0</xdr:rowOff>
    </xdr:to>
    <xdr:sp macro="" textlink="">
      <xdr:nvSpPr>
        <xdr:cNvPr id="47" name="TextBox 46">
          <a:extLst>
            <a:ext uri="{FF2B5EF4-FFF2-40B4-BE49-F238E27FC236}">
              <a16:creationId xmlns:a16="http://schemas.microsoft.com/office/drawing/2014/main" id="{C4E3D3FF-4E64-F6A7-809D-1A23C590C55D}"/>
            </a:ext>
          </a:extLst>
        </xdr:cNvPr>
        <xdr:cNvSpPr txBox="1"/>
      </xdr:nvSpPr>
      <xdr:spPr>
        <a:xfrm>
          <a:off x="8153400" y="174171"/>
          <a:ext cx="2438400" cy="381000"/>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How they like to buy?</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0</xdr:row>
      <xdr:rowOff>0</xdr:rowOff>
    </xdr:from>
    <xdr:to>
      <xdr:col>26</xdr:col>
      <xdr:colOff>0</xdr:colOff>
      <xdr:row>43</xdr:row>
      <xdr:rowOff>0</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1981200" y="0"/>
          <a:ext cx="13258800" cy="7863840"/>
        </a:xfrm>
        <a:prstGeom prst="rect">
          <a:avLst/>
        </a:prstGeom>
        <a:solidFill>
          <a:schemeClr val="accent3">
            <a:lumMod val="20000"/>
            <a:lumOff val="80000"/>
          </a:schemeClr>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3</xdr:col>
      <xdr:colOff>0</xdr:colOff>
      <xdr:row>43</xdr:row>
      <xdr:rowOff>0</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0" y="0"/>
          <a:ext cx="1981200" cy="7863840"/>
        </a:xfrm>
        <a:prstGeom prst="rect">
          <a:avLst/>
        </a:prstGeom>
        <a:solidFill>
          <a:schemeClr val="accent5">
            <a:lumMod val="50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206339</xdr:colOff>
      <xdr:row>0</xdr:row>
      <xdr:rowOff>101429</xdr:rowOff>
    </xdr:from>
    <xdr:to>
      <xdr:col>2</xdr:col>
      <xdr:colOff>0</xdr:colOff>
      <xdr:row>3</xdr:row>
      <xdr:rowOff>0</xdr:rowOff>
    </xdr:to>
    <xdr:pic>
      <xdr:nvPicPr>
        <xdr:cNvPr id="4" name="Picture 3">
          <a:extLst>
            <a:ext uri="{FF2B5EF4-FFF2-40B4-BE49-F238E27FC236}">
              <a16:creationId xmlns:a16="http://schemas.microsoft.com/office/drawing/2014/main" id="{687DA6DE-9337-4C9B-AF91-2F77566903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06339" y="101429"/>
          <a:ext cx="1546261" cy="447211"/>
        </a:xfrm>
        <a:prstGeom prst="rect">
          <a:avLst/>
        </a:prstGeom>
      </xdr:spPr>
    </xdr:pic>
    <xdr:clientData/>
  </xdr:twoCellAnchor>
  <xdr:twoCellAnchor editAs="oneCell">
    <xdr:from>
      <xdr:col>22</xdr:col>
      <xdr:colOff>304800</xdr:colOff>
      <xdr:row>1</xdr:row>
      <xdr:rowOff>0</xdr:rowOff>
    </xdr:from>
    <xdr:to>
      <xdr:col>25</xdr:col>
      <xdr:colOff>0</xdr:colOff>
      <xdr:row>3</xdr:row>
      <xdr:rowOff>67829</xdr:rowOff>
    </xdr:to>
    <xdr:pic>
      <xdr:nvPicPr>
        <xdr:cNvPr id="6" name="Picture 5">
          <a:hlinkClick xmlns:r="http://schemas.openxmlformats.org/officeDocument/2006/relationships" r:id="rId2"/>
          <a:extLst>
            <a:ext uri="{FF2B5EF4-FFF2-40B4-BE49-F238E27FC236}">
              <a16:creationId xmlns:a16="http://schemas.microsoft.com/office/drawing/2014/main" id="{46E40EAC-D019-CE2B-01E2-EC0A7137278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487400" y="182880"/>
          <a:ext cx="1524000" cy="43358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4</xdr:col>
      <xdr:colOff>324130</xdr:colOff>
      <xdr:row>3</xdr:row>
      <xdr:rowOff>76322</xdr:rowOff>
    </xdr:to>
    <xdr:pic>
      <xdr:nvPicPr>
        <xdr:cNvPr id="2" name="Picture 1">
          <a:extLst>
            <a:ext uri="{FF2B5EF4-FFF2-40B4-BE49-F238E27FC236}">
              <a16:creationId xmlns:a16="http://schemas.microsoft.com/office/drawing/2014/main" id="{113BF637-9F8C-404F-8B9A-8AB22E64E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19200" y="182880"/>
          <a:ext cx="1543330" cy="442082"/>
        </a:xfrm>
        <a:prstGeom prst="rect">
          <a:avLst/>
        </a:prstGeom>
      </xdr:spPr>
    </xdr:pic>
    <xdr:clientData/>
  </xdr:twoCellAnchor>
  <xdr:twoCellAnchor editAs="oneCell">
    <xdr:from>
      <xdr:col>1</xdr:col>
      <xdr:colOff>0</xdr:colOff>
      <xdr:row>27</xdr:row>
      <xdr:rowOff>0</xdr:rowOff>
    </xdr:from>
    <xdr:to>
      <xdr:col>3</xdr:col>
      <xdr:colOff>304800</xdr:colOff>
      <xdr:row>29</xdr:row>
      <xdr:rowOff>67829</xdr:rowOff>
    </xdr:to>
    <xdr:pic>
      <xdr:nvPicPr>
        <xdr:cNvPr id="3" name="Picture 2">
          <a:hlinkClick xmlns:r="http://schemas.openxmlformats.org/officeDocument/2006/relationships" r:id="rId2"/>
          <a:extLst>
            <a:ext uri="{FF2B5EF4-FFF2-40B4-BE49-F238E27FC236}">
              <a16:creationId xmlns:a16="http://schemas.microsoft.com/office/drawing/2014/main" id="{602BB025-83F9-4955-BC88-7D277D7994E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8600" y="4937760"/>
          <a:ext cx="1524000" cy="433589"/>
        </a:xfrm>
        <a:prstGeom prst="rect">
          <a:avLst/>
        </a:prstGeom>
      </xdr:spPr>
    </xdr:pic>
    <xdr:clientData/>
  </xdr:twoCellAnchor>
  <xdr:twoCellAnchor editAs="oneCell">
    <xdr:from>
      <xdr:col>7</xdr:col>
      <xdr:colOff>1</xdr:colOff>
      <xdr:row>7</xdr:row>
      <xdr:rowOff>1</xdr:rowOff>
    </xdr:from>
    <xdr:to>
      <xdr:col>8</xdr:col>
      <xdr:colOff>1</xdr:colOff>
      <xdr:row>21</xdr:row>
      <xdr:rowOff>1</xdr:rowOff>
    </xdr:to>
    <xdr:pic>
      <xdr:nvPicPr>
        <xdr:cNvPr id="5" name="Picture 4">
          <a:hlinkClick xmlns:r="http://schemas.openxmlformats.org/officeDocument/2006/relationships" r:id="rId4"/>
          <a:extLst>
            <a:ext uri="{FF2B5EF4-FFF2-40B4-BE49-F238E27FC236}">
              <a16:creationId xmlns:a16="http://schemas.microsoft.com/office/drawing/2014/main" id="{87527581-9CC7-32E2-D643-E625DB568FA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86201" y="1280161"/>
          <a:ext cx="2560320" cy="25603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elg" refreshedDate="46096.040531597224" createdVersion="8" refreshedVersion="8" minRefreshableVersion="3" recordCount="2400" xr:uid="{1B00F8D4-CB5E-4E5D-A192-873FE41679DD}">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10868057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x v="0"/>
    <x v="0"/>
    <x v="0"/>
    <x v="0"/>
    <x v="0"/>
    <x v="0"/>
    <x v="0"/>
    <x v="0"/>
  </r>
  <r>
    <x v="1"/>
    <x v="1"/>
    <x v="1"/>
    <n v="30.6"/>
    <n v="61.2"/>
    <x v="0"/>
    <d v="2025-01-03T00:00:00"/>
    <x v="1"/>
    <x v="0"/>
    <x v="0"/>
    <x v="0"/>
    <x v="1"/>
    <x v="1"/>
    <x v="0"/>
    <x v="1"/>
  </r>
  <r>
    <x v="2"/>
    <x v="2"/>
    <x v="2"/>
    <n v="109.4"/>
    <n v="328.20000000000005"/>
    <x v="0"/>
    <d v="2025-01-04T00:00:00"/>
    <x v="2"/>
    <x v="0"/>
    <x v="1"/>
    <x v="0"/>
    <x v="2"/>
    <x v="2"/>
    <x v="0"/>
    <x v="2"/>
  </r>
  <r>
    <x v="3"/>
    <x v="3"/>
    <x v="3"/>
    <n v="37.700000000000003"/>
    <n v="263.90000000000003"/>
    <x v="0"/>
    <d v="2025-01-02T00:00:00"/>
    <x v="2"/>
    <x v="0"/>
    <x v="0"/>
    <x v="0"/>
    <x v="2"/>
    <x v="3"/>
    <x v="0"/>
    <x v="2"/>
  </r>
  <r>
    <x v="4"/>
    <x v="4"/>
    <x v="2"/>
    <n v="56.7"/>
    <n v="170.10000000000002"/>
    <x v="0"/>
    <d v="2025-01-04T00:00:00"/>
    <x v="2"/>
    <x v="0"/>
    <x v="2"/>
    <x v="0"/>
    <x v="3"/>
    <x v="2"/>
    <x v="0"/>
    <x v="2"/>
  </r>
  <r>
    <x v="5"/>
    <x v="1"/>
    <x v="4"/>
    <n v="83.5"/>
    <n v="1002"/>
    <x v="0"/>
    <d v="2025-01-04T00:00:00"/>
    <x v="1"/>
    <x v="1"/>
    <x v="0"/>
    <x v="0"/>
    <x v="3"/>
    <x v="2"/>
    <x v="0"/>
    <x v="1"/>
  </r>
  <r>
    <x v="6"/>
    <x v="5"/>
    <x v="0"/>
    <n v="55.3"/>
    <n v="55.3"/>
    <x v="0"/>
    <d v="2025-01-02T00:00:00"/>
    <x v="2"/>
    <x v="0"/>
    <x v="0"/>
    <x v="0"/>
    <x v="3"/>
    <x v="3"/>
    <x v="0"/>
    <x v="2"/>
  </r>
  <r>
    <x v="7"/>
    <x v="6"/>
    <x v="1"/>
    <n v="40.299999999999997"/>
    <n v="80.599999999999994"/>
    <x v="0"/>
    <d v="2025-01-02T00:00:00"/>
    <x v="1"/>
    <x v="2"/>
    <x v="2"/>
    <x v="0"/>
    <x v="3"/>
    <x v="3"/>
    <x v="0"/>
    <x v="1"/>
  </r>
  <r>
    <x v="8"/>
    <x v="7"/>
    <x v="5"/>
    <n v="35.700000000000003"/>
    <n v="392.70000000000005"/>
    <x v="0"/>
    <d v="2025-01-02T00:00:00"/>
    <x v="2"/>
    <x v="0"/>
    <x v="0"/>
    <x v="0"/>
    <x v="3"/>
    <x v="3"/>
    <x v="0"/>
    <x v="2"/>
  </r>
  <r>
    <x v="9"/>
    <x v="8"/>
    <x v="3"/>
    <n v="22.4"/>
    <n v="156.79999999999998"/>
    <x v="0"/>
    <d v="2025-01-04T00:00:00"/>
    <x v="1"/>
    <x v="0"/>
    <x v="1"/>
    <x v="0"/>
    <x v="3"/>
    <x v="2"/>
    <x v="0"/>
    <x v="1"/>
  </r>
  <r>
    <x v="10"/>
    <x v="9"/>
    <x v="1"/>
    <n v="54.4"/>
    <n v="108.8"/>
    <x v="0"/>
    <d v="2025-01-07T00:00:00"/>
    <x v="2"/>
    <x v="0"/>
    <x v="0"/>
    <x v="0"/>
    <x v="3"/>
    <x v="4"/>
    <x v="0"/>
    <x v="2"/>
  </r>
  <r>
    <x v="11"/>
    <x v="9"/>
    <x v="1"/>
    <n v="49"/>
    <n v="98"/>
    <x v="0"/>
    <d v="2025-01-03T00:00:00"/>
    <x v="2"/>
    <x v="2"/>
    <x v="1"/>
    <x v="0"/>
    <x v="3"/>
    <x v="1"/>
    <x v="0"/>
    <x v="2"/>
  </r>
  <r>
    <x v="12"/>
    <x v="5"/>
    <x v="3"/>
    <n v="118.6"/>
    <n v="830.19999999999993"/>
    <x v="0"/>
    <d v="2025-01-05T00:00:00"/>
    <x v="2"/>
    <x v="1"/>
    <x v="0"/>
    <x v="0"/>
    <x v="4"/>
    <x v="5"/>
    <x v="0"/>
    <x v="2"/>
  </r>
  <r>
    <x v="13"/>
    <x v="6"/>
    <x v="6"/>
    <n v="88.4"/>
    <n v="2386.8000000000002"/>
    <x v="0"/>
    <d v="2025-01-08T00:00:00"/>
    <x v="1"/>
    <x v="3"/>
    <x v="0"/>
    <x v="0"/>
    <x v="5"/>
    <x v="6"/>
    <x v="0"/>
    <x v="1"/>
  </r>
  <r>
    <x v="14"/>
    <x v="10"/>
    <x v="0"/>
    <n v="66.7"/>
    <n v="66.7"/>
    <x v="0"/>
    <d v="2025-01-04T00:00:00"/>
    <x v="1"/>
    <x v="0"/>
    <x v="0"/>
    <x v="0"/>
    <x v="6"/>
    <x v="2"/>
    <x v="0"/>
    <x v="1"/>
  </r>
  <r>
    <x v="15"/>
    <x v="9"/>
    <x v="7"/>
    <n v="30.9"/>
    <n v="309"/>
    <x v="0"/>
    <d v="2025-01-02T00:00:00"/>
    <x v="1"/>
    <x v="1"/>
    <x v="2"/>
    <x v="0"/>
    <x v="6"/>
    <x v="3"/>
    <x v="0"/>
    <x v="1"/>
  </r>
  <r>
    <x v="16"/>
    <x v="4"/>
    <x v="2"/>
    <n v="31.1"/>
    <n v="93.300000000000011"/>
    <x v="0"/>
    <d v="2025-01-02T00:00:00"/>
    <x v="2"/>
    <x v="0"/>
    <x v="1"/>
    <x v="0"/>
    <x v="6"/>
    <x v="3"/>
    <x v="0"/>
    <x v="2"/>
  </r>
  <r>
    <x v="17"/>
    <x v="7"/>
    <x v="2"/>
    <n v="36.6"/>
    <n v="109.80000000000001"/>
    <x v="0"/>
    <d v="2025-01-04T00:00:00"/>
    <x v="2"/>
    <x v="0"/>
    <x v="0"/>
    <x v="0"/>
    <x v="7"/>
    <x v="2"/>
    <x v="0"/>
    <x v="2"/>
  </r>
  <r>
    <x v="18"/>
    <x v="6"/>
    <x v="8"/>
    <n v="51.1"/>
    <n v="408.8"/>
    <x v="0"/>
    <d v="2025-01-04T00:00:00"/>
    <x v="2"/>
    <x v="2"/>
    <x v="3"/>
    <x v="0"/>
    <x v="7"/>
    <x v="2"/>
    <x v="0"/>
    <x v="2"/>
  </r>
  <r>
    <x v="19"/>
    <x v="9"/>
    <x v="0"/>
    <n v="25.2"/>
    <n v="25.2"/>
    <x v="0"/>
    <d v="2025-01-02T00:00:00"/>
    <x v="2"/>
    <x v="1"/>
    <x v="2"/>
    <x v="0"/>
    <x v="8"/>
    <x v="3"/>
    <x v="0"/>
    <x v="2"/>
  </r>
  <r>
    <x v="20"/>
    <x v="9"/>
    <x v="9"/>
    <n v="43.8"/>
    <n v="219"/>
    <x v="0"/>
    <d v="2025-01-04T00:00:00"/>
    <x v="2"/>
    <x v="2"/>
    <x v="0"/>
    <x v="0"/>
    <x v="8"/>
    <x v="2"/>
    <x v="0"/>
    <x v="2"/>
  </r>
  <r>
    <x v="21"/>
    <x v="8"/>
    <x v="4"/>
    <n v="46.7"/>
    <n v="560.40000000000009"/>
    <x v="0"/>
    <d v="2025-01-02T00:00:00"/>
    <x v="2"/>
    <x v="1"/>
    <x v="1"/>
    <x v="0"/>
    <x v="8"/>
    <x v="3"/>
    <x v="0"/>
    <x v="2"/>
  </r>
  <r>
    <x v="22"/>
    <x v="3"/>
    <x v="10"/>
    <n v="79.900000000000006"/>
    <n v="1518.1000000000001"/>
    <x v="0"/>
    <d v="2025-01-02T00:00:00"/>
    <x v="1"/>
    <x v="0"/>
    <x v="2"/>
    <x v="0"/>
    <x v="8"/>
    <x v="3"/>
    <x v="0"/>
    <x v="1"/>
  </r>
  <r>
    <x v="23"/>
    <x v="11"/>
    <x v="8"/>
    <n v="26.4"/>
    <n v="211.2"/>
    <x v="0"/>
    <d v="2025-01-02T00:00:00"/>
    <x v="2"/>
    <x v="3"/>
    <x v="0"/>
    <x v="0"/>
    <x v="8"/>
    <x v="3"/>
    <x v="0"/>
    <x v="2"/>
  </r>
  <r>
    <x v="24"/>
    <x v="12"/>
    <x v="8"/>
    <n v="88.8"/>
    <n v="710.4"/>
    <x v="0"/>
    <d v="2025-01-02T00:00:00"/>
    <x v="2"/>
    <x v="4"/>
    <x v="0"/>
    <x v="0"/>
    <x v="8"/>
    <x v="3"/>
    <x v="0"/>
    <x v="2"/>
  </r>
  <r>
    <x v="25"/>
    <x v="0"/>
    <x v="7"/>
    <n v="17.5"/>
    <n v="175"/>
    <x v="0"/>
    <d v="2025-01-02T00:00:00"/>
    <x v="2"/>
    <x v="2"/>
    <x v="0"/>
    <x v="0"/>
    <x v="9"/>
    <x v="3"/>
    <x v="0"/>
    <x v="2"/>
  </r>
  <r>
    <x v="26"/>
    <x v="1"/>
    <x v="11"/>
    <n v="38.700000000000003"/>
    <n v="348.3"/>
    <x v="0"/>
    <d v="2025-01-04T00:00:00"/>
    <x v="1"/>
    <x v="1"/>
    <x v="0"/>
    <x v="0"/>
    <x v="10"/>
    <x v="2"/>
    <x v="0"/>
    <x v="1"/>
  </r>
  <r>
    <x v="27"/>
    <x v="13"/>
    <x v="12"/>
    <n v="57.2"/>
    <n v="228.8"/>
    <x v="0"/>
    <d v="2025-01-03T00:00:00"/>
    <x v="0"/>
    <x v="1"/>
    <x v="2"/>
    <x v="0"/>
    <x v="11"/>
    <x v="1"/>
    <x v="0"/>
    <x v="0"/>
  </r>
  <r>
    <x v="28"/>
    <x v="6"/>
    <x v="9"/>
    <n v="50.9"/>
    <n v="254.5"/>
    <x v="0"/>
    <d v="2025-01-07T00:00:00"/>
    <x v="0"/>
    <x v="1"/>
    <x v="2"/>
    <x v="0"/>
    <x v="12"/>
    <x v="4"/>
    <x v="0"/>
    <x v="0"/>
  </r>
  <r>
    <x v="29"/>
    <x v="14"/>
    <x v="3"/>
    <n v="41"/>
    <n v="287"/>
    <x v="0"/>
    <d v="2025-01-05T00:00:00"/>
    <x v="2"/>
    <x v="1"/>
    <x v="0"/>
    <x v="0"/>
    <x v="13"/>
    <x v="5"/>
    <x v="0"/>
    <x v="2"/>
  </r>
  <r>
    <x v="30"/>
    <x v="8"/>
    <x v="3"/>
    <n v="19.100000000000001"/>
    <n v="133.70000000000002"/>
    <x v="0"/>
    <d v="2025-01-05T00:00:00"/>
    <x v="1"/>
    <x v="0"/>
    <x v="2"/>
    <x v="0"/>
    <x v="14"/>
    <x v="5"/>
    <x v="0"/>
    <x v="1"/>
  </r>
  <r>
    <x v="31"/>
    <x v="2"/>
    <x v="9"/>
    <n v="166.1"/>
    <n v="830.5"/>
    <x v="0"/>
    <d v="2025-01-04T00:00:00"/>
    <x v="1"/>
    <x v="0"/>
    <x v="0"/>
    <x v="0"/>
    <x v="15"/>
    <x v="2"/>
    <x v="0"/>
    <x v="1"/>
  </r>
  <r>
    <x v="32"/>
    <x v="4"/>
    <x v="2"/>
    <n v="29.9"/>
    <n v="89.699999999999989"/>
    <x v="0"/>
    <d v="2025-01-02T00:00:00"/>
    <x v="1"/>
    <x v="3"/>
    <x v="0"/>
    <x v="0"/>
    <x v="3"/>
    <x v="3"/>
    <x v="0"/>
    <x v="1"/>
  </r>
  <r>
    <x v="33"/>
    <x v="10"/>
    <x v="13"/>
    <n v="21.7"/>
    <n v="130.19999999999999"/>
    <x v="0"/>
    <d v="2025-01-03T00:00:00"/>
    <x v="3"/>
    <x v="2"/>
    <x v="2"/>
    <x v="0"/>
    <x v="3"/>
    <x v="1"/>
    <x v="0"/>
    <x v="3"/>
  </r>
  <r>
    <x v="34"/>
    <x v="11"/>
    <x v="1"/>
    <n v="32"/>
    <n v="64"/>
    <x v="0"/>
    <d v="2025-01-04T00:00:00"/>
    <x v="1"/>
    <x v="0"/>
    <x v="2"/>
    <x v="0"/>
    <x v="3"/>
    <x v="2"/>
    <x v="0"/>
    <x v="1"/>
  </r>
  <r>
    <x v="35"/>
    <x v="8"/>
    <x v="1"/>
    <n v="15.8"/>
    <n v="31.6"/>
    <x v="0"/>
    <d v="2025-01-02T00:00:00"/>
    <x v="1"/>
    <x v="4"/>
    <x v="2"/>
    <x v="0"/>
    <x v="3"/>
    <x v="3"/>
    <x v="0"/>
    <x v="1"/>
  </r>
  <r>
    <x v="36"/>
    <x v="2"/>
    <x v="14"/>
    <n v="203.1"/>
    <n v="3452.7"/>
    <x v="0"/>
    <d v="2025-01-05T00:00:00"/>
    <x v="1"/>
    <x v="3"/>
    <x v="1"/>
    <x v="0"/>
    <x v="3"/>
    <x v="5"/>
    <x v="0"/>
    <x v="1"/>
  </r>
  <r>
    <x v="37"/>
    <x v="7"/>
    <x v="15"/>
    <n v="39"/>
    <n v="507"/>
    <x v="0"/>
    <d v="2025-01-07T00:00:00"/>
    <x v="1"/>
    <x v="0"/>
    <x v="2"/>
    <x v="0"/>
    <x v="3"/>
    <x v="4"/>
    <x v="0"/>
    <x v="1"/>
  </r>
  <r>
    <x v="38"/>
    <x v="10"/>
    <x v="0"/>
    <n v="26.5"/>
    <n v="26.5"/>
    <x v="1"/>
    <d v="2025-01-03T00:00:00"/>
    <x v="1"/>
    <x v="2"/>
    <x v="0"/>
    <x v="0"/>
    <x v="3"/>
    <x v="3"/>
    <x v="0"/>
    <x v="1"/>
  </r>
  <r>
    <x v="39"/>
    <x v="5"/>
    <x v="0"/>
    <n v="43.1"/>
    <n v="43.1"/>
    <x v="1"/>
    <d v="2025-01-03T00:00:00"/>
    <x v="2"/>
    <x v="2"/>
    <x v="1"/>
    <x v="0"/>
    <x v="3"/>
    <x v="3"/>
    <x v="0"/>
    <x v="2"/>
  </r>
  <r>
    <x v="40"/>
    <x v="1"/>
    <x v="2"/>
    <n v="139"/>
    <n v="417"/>
    <x v="1"/>
    <d v="2025-01-03T00:00:00"/>
    <x v="2"/>
    <x v="4"/>
    <x v="2"/>
    <x v="0"/>
    <x v="3"/>
    <x v="3"/>
    <x v="0"/>
    <x v="2"/>
  </r>
  <r>
    <x v="41"/>
    <x v="12"/>
    <x v="0"/>
    <n v="80.7"/>
    <n v="80.7"/>
    <x v="1"/>
    <d v="2025-01-03T00:00:00"/>
    <x v="1"/>
    <x v="0"/>
    <x v="2"/>
    <x v="0"/>
    <x v="16"/>
    <x v="3"/>
    <x v="0"/>
    <x v="1"/>
  </r>
  <r>
    <x v="42"/>
    <x v="4"/>
    <x v="1"/>
    <n v="54.5"/>
    <n v="109"/>
    <x v="1"/>
    <d v="2025-01-04T00:00:00"/>
    <x v="1"/>
    <x v="1"/>
    <x v="1"/>
    <x v="0"/>
    <x v="6"/>
    <x v="1"/>
    <x v="0"/>
    <x v="1"/>
  </r>
  <r>
    <x v="43"/>
    <x v="6"/>
    <x v="2"/>
    <n v="68.599999999999994"/>
    <n v="205.79999999999998"/>
    <x v="1"/>
    <d v="2025-01-02T00:00:00"/>
    <x v="2"/>
    <x v="0"/>
    <x v="1"/>
    <x v="0"/>
    <x v="8"/>
    <x v="7"/>
    <x v="0"/>
    <x v="2"/>
  </r>
  <r>
    <x v="44"/>
    <x v="2"/>
    <x v="12"/>
    <n v="135.9"/>
    <n v="543.6"/>
    <x v="1"/>
    <d v="2025-01-03T00:00:00"/>
    <x v="2"/>
    <x v="2"/>
    <x v="2"/>
    <x v="0"/>
    <x v="8"/>
    <x v="3"/>
    <x v="0"/>
    <x v="2"/>
  </r>
  <r>
    <x v="45"/>
    <x v="2"/>
    <x v="12"/>
    <n v="70.900000000000006"/>
    <n v="283.60000000000002"/>
    <x v="1"/>
    <d v="2025-01-03T00:00:00"/>
    <x v="2"/>
    <x v="0"/>
    <x v="0"/>
    <x v="0"/>
    <x v="17"/>
    <x v="3"/>
    <x v="0"/>
    <x v="2"/>
  </r>
  <r>
    <x v="46"/>
    <x v="1"/>
    <x v="9"/>
    <n v="63.7"/>
    <n v="318.5"/>
    <x v="1"/>
    <d v="2025-01-03T00:00:00"/>
    <x v="1"/>
    <x v="1"/>
    <x v="1"/>
    <x v="0"/>
    <x v="9"/>
    <x v="3"/>
    <x v="0"/>
    <x v="1"/>
  </r>
  <r>
    <x v="47"/>
    <x v="13"/>
    <x v="0"/>
    <n v="29.7"/>
    <n v="29.7"/>
    <x v="1"/>
    <d v="2025-01-04T00:00:00"/>
    <x v="2"/>
    <x v="1"/>
    <x v="0"/>
    <x v="0"/>
    <x v="11"/>
    <x v="1"/>
    <x v="0"/>
    <x v="2"/>
  </r>
  <r>
    <x v="48"/>
    <x v="4"/>
    <x v="2"/>
    <n v="26.8"/>
    <n v="80.400000000000006"/>
    <x v="1"/>
    <d v="2025-01-11T00:00:00"/>
    <x v="2"/>
    <x v="1"/>
    <x v="2"/>
    <x v="0"/>
    <x v="11"/>
    <x v="8"/>
    <x v="0"/>
    <x v="2"/>
  </r>
  <r>
    <x v="49"/>
    <x v="14"/>
    <x v="0"/>
    <n v="27"/>
    <n v="27"/>
    <x v="1"/>
    <d v="2025-01-04T00:00:00"/>
    <x v="2"/>
    <x v="0"/>
    <x v="0"/>
    <x v="0"/>
    <x v="18"/>
    <x v="1"/>
    <x v="0"/>
    <x v="2"/>
  </r>
  <r>
    <x v="50"/>
    <x v="8"/>
    <x v="0"/>
    <n v="41.4"/>
    <n v="41.4"/>
    <x v="1"/>
    <d v="2025-01-03T00:00:00"/>
    <x v="1"/>
    <x v="1"/>
    <x v="2"/>
    <x v="0"/>
    <x v="19"/>
    <x v="3"/>
    <x v="0"/>
    <x v="1"/>
  </r>
  <r>
    <x v="51"/>
    <x v="8"/>
    <x v="1"/>
    <n v="24.3"/>
    <n v="48.6"/>
    <x v="1"/>
    <d v="2025-01-05T00:00:00"/>
    <x v="2"/>
    <x v="1"/>
    <x v="0"/>
    <x v="0"/>
    <x v="19"/>
    <x v="2"/>
    <x v="0"/>
    <x v="2"/>
  </r>
  <r>
    <x v="52"/>
    <x v="8"/>
    <x v="2"/>
    <n v="41.7"/>
    <n v="125.10000000000001"/>
    <x v="1"/>
    <d v="2025-01-04T00:00:00"/>
    <x v="1"/>
    <x v="0"/>
    <x v="2"/>
    <x v="0"/>
    <x v="20"/>
    <x v="1"/>
    <x v="0"/>
    <x v="1"/>
  </r>
  <r>
    <x v="53"/>
    <x v="0"/>
    <x v="1"/>
    <n v="18"/>
    <n v="36"/>
    <x v="1"/>
    <d v="2025-01-03T00:00:00"/>
    <x v="2"/>
    <x v="0"/>
    <x v="2"/>
    <x v="0"/>
    <x v="21"/>
    <x v="3"/>
    <x v="0"/>
    <x v="2"/>
  </r>
  <r>
    <x v="54"/>
    <x v="7"/>
    <x v="2"/>
    <n v="91.3"/>
    <n v="273.89999999999998"/>
    <x v="1"/>
    <d v="2025-01-05T00:00:00"/>
    <x v="1"/>
    <x v="2"/>
    <x v="2"/>
    <x v="0"/>
    <x v="3"/>
    <x v="2"/>
    <x v="0"/>
    <x v="1"/>
  </r>
  <r>
    <x v="55"/>
    <x v="8"/>
    <x v="8"/>
    <n v="19.3"/>
    <n v="154.4"/>
    <x v="1"/>
    <d v="2025-01-03T00:00:00"/>
    <x v="1"/>
    <x v="0"/>
    <x v="0"/>
    <x v="0"/>
    <x v="3"/>
    <x v="3"/>
    <x v="0"/>
    <x v="1"/>
  </r>
  <r>
    <x v="56"/>
    <x v="12"/>
    <x v="15"/>
    <n v="63.2"/>
    <n v="821.6"/>
    <x v="1"/>
    <d v="2025-01-03T00:00:00"/>
    <x v="2"/>
    <x v="0"/>
    <x v="0"/>
    <x v="0"/>
    <x v="3"/>
    <x v="3"/>
    <x v="0"/>
    <x v="2"/>
  </r>
  <r>
    <x v="57"/>
    <x v="10"/>
    <x v="11"/>
    <n v="33.299999999999997"/>
    <n v="299.7"/>
    <x v="2"/>
    <d v="2025-01-11T00:00:00"/>
    <x v="2"/>
    <x v="0"/>
    <x v="2"/>
    <x v="0"/>
    <x v="3"/>
    <x v="9"/>
    <x v="0"/>
    <x v="2"/>
  </r>
  <r>
    <x v="58"/>
    <x v="7"/>
    <x v="1"/>
    <n v="64.2"/>
    <n v="128.4"/>
    <x v="2"/>
    <d v="2025-01-04T00:00:00"/>
    <x v="1"/>
    <x v="0"/>
    <x v="2"/>
    <x v="0"/>
    <x v="3"/>
    <x v="3"/>
    <x v="0"/>
    <x v="1"/>
  </r>
  <r>
    <x v="59"/>
    <x v="9"/>
    <x v="2"/>
    <n v="23.1"/>
    <n v="69.300000000000011"/>
    <x v="2"/>
    <d v="2025-01-06T00:00:00"/>
    <x v="2"/>
    <x v="1"/>
    <x v="2"/>
    <x v="0"/>
    <x v="3"/>
    <x v="2"/>
    <x v="0"/>
    <x v="2"/>
  </r>
  <r>
    <x v="60"/>
    <x v="15"/>
    <x v="1"/>
    <n v="71.099999999999994"/>
    <n v="142.19999999999999"/>
    <x v="2"/>
    <d v="2025-01-05T00:00:00"/>
    <x v="2"/>
    <x v="3"/>
    <x v="1"/>
    <x v="0"/>
    <x v="3"/>
    <x v="1"/>
    <x v="0"/>
    <x v="2"/>
  </r>
  <r>
    <x v="61"/>
    <x v="0"/>
    <x v="1"/>
    <n v="11.5"/>
    <n v="23"/>
    <x v="2"/>
    <d v="2025-01-04T00:00:00"/>
    <x v="2"/>
    <x v="0"/>
    <x v="0"/>
    <x v="0"/>
    <x v="3"/>
    <x v="3"/>
    <x v="0"/>
    <x v="2"/>
  </r>
  <r>
    <x v="62"/>
    <x v="15"/>
    <x v="10"/>
    <n v="69.2"/>
    <n v="1314.8"/>
    <x v="2"/>
    <d v="2025-01-08T00:00:00"/>
    <x v="2"/>
    <x v="0"/>
    <x v="0"/>
    <x v="0"/>
    <x v="3"/>
    <x v="0"/>
    <x v="0"/>
    <x v="2"/>
  </r>
  <r>
    <x v="63"/>
    <x v="0"/>
    <x v="0"/>
    <n v="26.8"/>
    <n v="26.8"/>
    <x v="2"/>
    <d v="2025-01-04T00:00:00"/>
    <x v="1"/>
    <x v="2"/>
    <x v="4"/>
    <x v="0"/>
    <x v="3"/>
    <x v="3"/>
    <x v="0"/>
    <x v="1"/>
  </r>
  <r>
    <x v="64"/>
    <x v="16"/>
    <x v="2"/>
    <n v="31.2"/>
    <n v="93.6"/>
    <x v="2"/>
    <d v="2025-01-06T00:00:00"/>
    <x v="2"/>
    <x v="0"/>
    <x v="0"/>
    <x v="0"/>
    <x v="3"/>
    <x v="2"/>
    <x v="0"/>
    <x v="2"/>
  </r>
  <r>
    <x v="65"/>
    <x v="12"/>
    <x v="1"/>
    <n v="113.2"/>
    <n v="226.4"/>
    <x v="2"/>
    <d v="2025-01-04T00:00:00"/>
    <x v="2"/>
    <x v="4"/>
    <x v="0"/>
    <x v="0"/>
    <x v="3"/>
    <x v="3"/>
    <x v="0"/>
    <x v="2"/>
  </r>
  <r>
    <x v="66"/>
    <x v="10"/>
    <x v="8"/>
    <n v="21"/>
    <n v="168"/>
    <x v="2"/>
    <d v="2025-01-04T00:00:00"/>
    <x v="1"/>
    <x v="0"/>
    <x v="0"/>
    <x v="0"/>
    <x v="6"/>
    <x v="3"/>
    <x v="0"/>
    <x v="1"/>
  </r>
  <r>
    <x v="67"/>
    <x v="1"/>
    <x v="1"/>
    <n v="89.1"/>
    <n v="178.2"/>
    <x v="2"/>
    <d v="2025-01-04T00:00:00"/>
    <x v="2"/>
    <x v="2"/>
    <x v="2"/>
    <x v="0"/>
    <x v="6"/>
    <x v="3"/>
    <x v="0"/>
    <x v="2"/>
  </r>
  <r>
    <x v="68"/>
    <x v="1"/>
    <x v="0"/>
    <n v="97.7"/>
    <n v="97.7"/>
    <x v="2"/>
    <d v="2025-01-05T00:00:00"/>
    <x v="2"/>
    <x v="0"/>
    <x v="1"/>
    <x v="0"/>
    <x v="6"/>
    <x v="1"/>
    <x v="0"/>
    <x v="2"/>
  </r>
  <r>
    <x v="69"/>
    <x v="15"/>
    <x v="12"/>
    <n v="97.7"/>
    <n v="390.8"/>
    <x v="2"/>
    <d v="2025-01-05T00:00:00"/>
    <x v="1"/>
    <x v="3"/>
    <x v="0"/>
    <x v="0"/>
    <x v="6"/>
    <x v="1"/>
    <x v="0"/>
    <x v="1"/>
  </r>
  <r>
    <x v="70"/>
    <x v="17"/>
    <x v="2"/>
    <n v="47.4"/>
    <n v="142.19999999999999"/>
    <x v="2"/>
    <d v="2025-01-06T00:00:00"/>
    <x v="1"/>
    <x v="3"/>
    <x v="2"/>
    <x v="0"/>
    <x v="8"/>
    <x v="2"/>
    <x v="0"/>
    <x v="1"/>
  </r>
  <r>
    <x v="71"/>
    <x v="7"/>
    <x v="0"/>
    <n v="89.6"/>
    <n v="89.6"/>
    <x v="2"/>
    <d v="2025-01-06T00:00:00"/>
    <x v="2"/>
    <x v="0"/>
    <x v="2"/>
    <x v="0"/>
    <x v="8"/>
    <x v="2"/>
    <x v="0"/>
    <x v="2"/>
  </r>
  <r>
    <x v="72"/>
    <x v="10"/>
    <x v="16"/>
    <n v="28.4"/>
    <n v="511.2"/>
    <x v="2"/>
    <d v="2025-01-06T00:00:00"/>
    <x v="2"/>
    <x v="3"/>
    <x v="2"/>
    <x v="0"/>
    <x v="17"/>
    <x v="2"/>
    <x v="0"/>
    <x v="2"/>
  </r>
  <r>
    <x v="73"/>
    <x v="0"/>
    <x v="1"/>
    <n v="17.899999999999999"/>
    <n v="35.799999999999997"/>
    <x v="2"/>
    <d v="2025-01-04T00:00:00"/>
    <x v="2"/>
    <x v="0"/>
    <x v="2"/>
    <x v="0"/>
    <x v="9"/>
    <x v="3"/>
    <x v="0"/>
    <x v="2"/>
  </r>
  <r>
    <x v="74"/>
    <x v="9"/>
    <x v="1"/>
    <n v="48.4"/>
    <n v="96.8"/>
    <x v="2"/>
    <d v="2025-01-06T00:00:00"/>
    <x v="1"/>
    <x v="1"/>
    <x v="0"/>
    <x v="0"/>
    <x v="9"/>
    <x v="2"/>
    <x v="0"/>
    <x v="1"/>
  </r>
  <r>
    <x v="75"/>
    <x v="12"/>
    <x v="12"/>
    <n v="44.4"/>
    <n v="177.6"/>
    <x v="2"/>
    <d v="2025-01-04T00:00:00"/>
    <x v="3"/>
    <x v="1"/>
    <x v="1"/>
    <x v="0"/>
    <x v="11"/>
    <x v="3"/>
    <x v="0"/>
    <x v="3"/>
  </r>
  <r>
    <x v="76"/>
    <x v="2"/>
    <x v="8"/>
    <n v="103.7"/>
    <n v="829.6"/>
    <x v="2"/>
    <d v="2025-01-04T00:00:00"/>
    <x v="2"/>
    <x v="0"/>
    <x v="1"/>
    <x v="0"/>
    <x v="19"/>
    <x v="3"/>
    <x v="0"/>
    <x v="2"/>
  </r>
  <r>
    <x v="77"/>
    <x v="5"/>
    <x v="12"/>
    <n v="58.6"/>
    <n v="234.4"/>
    <x v="2"/>
    <d v="2025-01-05T00:00:00"/>
    <x v="1"/>
    <x v="3"/>
    <x v="0"/>
    <x v="0"/>
    <x v="19"/>
    <x v="1"/>
    <x v="0"/>
    <x v="1"/>
  </r>
  <r>
    <x v="78"/>
    <x v="9"/>
    <x v="12"/>
    <n v="54.8"/>
    <n v="219.2"/>
    <x v="2"/>
    <d v="2025-01-07T00:00:00"/>
    <x v="2"/>
    <x v="2"/>
    <x v="1"/>
    <x v="0"/>
    <x v="13"/>
    <x v="5"/>
    <x v="0"/>
    <x v="2"/>
  </r>
  <r>
    <x v="79"/>
    <x v="12"/>
    <x v="2"/>
    <n v="78.8"/>
    <n v="236.39999999999998"/>
    <x v="2"/>
    <d v="2025-01-09T00:00:00"/>
    <x v="2"/>
    <x v="4"/>
    <x v="1"/>
    <x v="0"/>
    <x v="21"/>
    <x v="4"/>
    <x v="0"/>
    <x v="2"/>
  </r>
  <r>
    <x v="80"/>
    <x v="18"/>
    <x v="9"/>
    <n v="36.799999999999997"/>
    <n v="184"/>
    <x v="2"/>
    <d v="2025-01-06T00:00:00"/>
    <x v="1"/>
    <x v="4"/>
    <x v="1"/>
    <x v="0"/>
    <x v="22"/>
    <x v="2"/>
    <x v="0"/>
    <x v="1"/>
  </r>
  <r>
    <x v="81"/>
    <x v="6"/>
    <x v="13"/>
    <n v="50.6"/>
    <n v="303.60000000000002"/>
    <x v="2"/>
    <d v="2025-01-05T00:00:00"/>
    <x v="2"/>
    <x v="3"/>
    <x v="0"/>
    <x v="0"/>
    <x v="3"/>
    <x v="1"/>
    <x v="0"/>
    <x v="2"/>
  </r>
  <r>
    <x v="82"/>
    <x v="15"/>
    <x v="2"/>
    <n v="36.799999999999997"/>
    <n v="110.39999999999999"/>
    <x v="2"/>
    <d v="2025-01-03T00:00:00"/>
    <x v="1"/>
    <x v="2"/>
    <x v="1"/>
    <x v="0"/>
    <x v="3"/>
    <x v="7"/>
    <x v="0"/>
    <x v="1"/>
  </r>
  <r>
    <x v="83"/>
    <x v="8"/>
    <x v="11"/>
    <n v="41.8"/>
    <n v="376.2"/>
    <x v="3"/>
    <d v="2025-01-10T00:00:00"/>
    <x v="2"/>
    <x v="3"/>
    <x v="0"/>
    <x v="0"/>
    <x v="3"/>
    <x v="4"/>
    <x v="0"/>
    <x v="2"/>
  </r>
  <r>
    <x v="84"/>
    <x v="18"/>
    <x v="0"/>
    <n v="77.3"/>
    <n v="77.3"/>
    <x v="3"/>
    <d v="2025-01-05T00:00:00"/>
    <x v="1"/>
    <x v="4"/>
    <x v="4"/>
    <x v="0"/>
    <x v="3"/>
    <x v="3"/>
    <x v="0"/>
    <x v="1"/>
  </r>
  <r>
    <x v="85"/>
    <x v="8"/>
    <x v="12"/>
    <n v="19.8"/>
    <n v="79.2"/>
    <x v="3"/>
    <d v="2025-01-10T00:00:00"/>
    <x v="1"/>
    <x v="1"/>
    <x v="2"/>
    <x v="0"/>
    <x v="3"/>
    <x v="4"/>
    <x v="0"/>
    <x v="1"/>
  </r>
  <r>
    <x v="86"/>
    <x v="13"/>
    <x v="12"/>
    <n v="15.5"/>
    <n v="62"/>
    <x v="3"/>
    <d v="2025-01-05T00:00:00"/>
    <x v="2"/>
    <x v="1"/>
    <x v="2"/>
    <x v="0"/>
    <x v="3"/>
    <x v="3"/>
    <x v="0"/>
    <x v="2"/>
  </r>
  <r>
    <x v="87"/>
    <x v="12"/>
    <x v="0"/>
    <n v="46.8"/>
    <n v="46.8"/>
    <x v="3"/>
    <d v="2025-01-08T00:00:00"/>
    <x v="1"/>
    <x v="0"/>
    <x v="2"/>
    <x v="0"/>
    <x v="3"/>
    <x v="5"/>
    <x v="0"/>
    <x v="1"/>
  </r>
  <r>
    <x v="88"/>
    <x v="9"/>
    <x v="11"/>
    <n v="28.6"/>
    <n v="257.40000000000003"/>
    <x v="3"/>
    <d v="2025-01-08T00:00:00"/>
    <x v="1"/>
    <x v="0"/>
    <x v="2"/>
    <x v="0"/>
    <x v="3"/>
    <x v="5"/>
    <x v="0"/>
    <x v="1"/>
  </r>
  <r>
    <x v="89"/>
    <x v="2"/>
    <x v="0"/>
    <n v="97.7"/>
    <n v="97.7"/>
    <x v="3"/>
    <d v="2025-01-07T00:00:00"/>
    <x v="2"/>
    <x v="1"/>
    <x v="0"/>
    <x v="0"/>
    <x v="3"/>
    <x v="2"/>
    <x v="0"/>
    <x v="2"/>
  </r>
  <r>
    <x v="90"/>
    <x v="9"/>
    <x v="9"/>
    <n v="54.7"/>
    <n v="273.5"/>
    <x v="3"/>
    <d v="2025-01-07T00:00:00"/>
    <x v="0"/>
    <x v="0"/>
    <x v="2"/>
    <x v="0"/>
    <x v="23"/>
    <x v="2"/>
    <x v="0"/>
    <x v="0"/>
  </r>
  <r>
    <x v="91"/>
    <x v="2"/>
    <x v="13"/>
    <n v="130.5"/>
    <n v="783"/>
    <x v="3"/>
    <d v="2025-01-06T00:00:00"/>
    <x v="2"/>
    <x v="0"/>
    <x v="1"/>
    <x v="0"/>
    <x v="23"/>
    <x v="1"/>
    <x v="0"/>
    <x v="2"/>
  </r>
  <r>
    <x v="92"/>
    <x v="11"/>
    <x v="1"/>
    <n v="50.4"/>
    <n v="100.8"/>
    <x v="3"/>
    <d v="2025-01-06T00:00:00"/>
    <x v="1"/>
    <x v="2"/>
    <x v="2"/>
    <x v="0"/>
    <x v="6"/>
    <x v="1"/>
    <x v="0"/>
    <x v="1"/>
  </r>
  <r>
    <x v="93"/>
    <x v="6"/>
    <x v="15"/>
    <n v="61.5"/>
    <n v="799.5"/>
    <x v="3"/>
    <d v="2025-01-05T00:00:00"/>
    <x v="0"/>
    <x v="3"/>
    <x v="1"/>
    <x v="0"/>
    <x v="11"/>
    <x v="3"/>
    <x v="0"/>
    <x v="0"/>
  </r>
  <r>
    <x v="94"/>
    <x v="9"/>
    <x v="12"/>
    <n v="30.1"/>
    <n v="120.4"/>
    <x v="3"/>
    <d v="2025-01-05T00:00:00"/>
    <x v="2"/>
    <x v="0"/>
    <x v="2"/>
    <x v="0"/>
    <x v="21"/>
    <x v="3"/>
    <x v="0"/>
    <x v="2"/>
  </r>
  <r>
    <x v="95"/>
    <x v="2"/>
    <x v="9"/>
    <n v="74.8"/>
    <n v="374"/>
    <x v="3"/>
    <d v="2025-01-05T00:00:00"/>
    <x v="2"/>
    <x v="1"/>
    <x v="0"/>
    <x v="0"/>
    <x v="1"/>
    <x v="3"/>
    <x v="0"/>
    <x v="2"/>
  </r>
  <r>
    <x v="96"/>
    <x v="16"/>
    <x v="2"/>
    <n v="64.900000000000006"/>
    <n v="194.70000000000002"/>
    <x v="3"/>
    <d v="2025-01-11T00:00:00"/>
    <x v="1"/>
    <x v="0"/>
    <x v="0"/>
    <x v="0"/>
    <x v="2"/>
    <x v="6"/>
    <x v="0"/>
    <x v="1"/>
  </r>
  <r>
    <x v="97"/>
    <x v="9"/>
    <x v="1"/>
    <n v="50.5"/>
    <n v="101"/>
    <x v="3"/>
    <d v="2025-01-06T00:00:00"/>
    <x v="1"/>
    <x v="1"/>
    <x v="0"/>
    <x v="0"/>
    <x v="22"/>
    <x v="1"/>
    <x v="0"/>
    <x v="1"/>
  </r>
  <r>
    <x v="98"/>
    <x v="11"/>
    <x v="3"/>
    <n v="63"/>
    <n v="441"/>
    <x v="3"/>
    <d v="2025-01-07T00:00:00"/>
    <x v="1"/>
    <x v="3"/>
    <x v="2"/>
    <x v="0"/>
    <x v="3"/>
    <x v="2"/>
    <x v="0"/>
    <x v="1"/>
  </r>
  <r>
    <x v="99"/>
    <x v="2"/>
    <x v="2"/>
    <n v="93.6"/>
    <n v="280.79999999999995"/>
    <x v="3"/>
    <d v="2025-01-17T00:00:00"/>
    <x v="2"/>
    <x v="0"/>
    <x v="2"/>
    <x v="0"/>
    <x v="3"/>
    <x v="10"/>
    <x v="0"/>
    <x v="2"/>
  </r>
  <r>
    <x v="100"/>
    <x v="5"/>
    <x v="17"/>
    <n v="41.4"/>
    <n v="1242"/>
    <x v="3"/>
    <d v="2025-01-08T00:00:00"/>
    <x v="1"/>
    <x v="2"/>
    <x v="2"/>
    <x v="0"/>
    <x v="3"/>
    <x v="5"/>
    <x v="0"/>
    <x v="1"/>
  </r>
  <r>
    <x v="101"/>
    <x v="2"/>
    <x v="1"/>
    <n v="160"/>
    <n v="320"/>
    <x v="4"/>
    <d v="2025-01-06T00:00:00"/>
    <x v="1"/>
    <x v="2"/>
    <x v="2"/>
    <x v="0"/>
    <x v="5"/>
    <x v="3"/>
    <x v="1"/>
    <x v="1"/>
  </r>
  <r>
    <x v="102"/>
    <x v="19"/>
    <x v="5"/>
    <n v="10.5"/>
    <n v="115.5"/>
    <x v="4"/>
    <d v="2025-01-08T00:00:00"/>
    <x v="2"/>
    <x v="4"/>
    <x v="0"/>
    <x v="0"/>
    <x v="8"/>
    <x v="2"/>
    <x v="1"/>
    <x v="2"/>
  </r>
  <r>
    <x v="103"/>
    <x v="10"/>
    <x v="1"/>
    <n v="53"/>
    <n v="106"/>
    <x v="4"/>
    <d v="2025-01-05T00:00:00"/>
    <x v="1"/>
    <x v="2"/>
    <x v="4"/>
    <x v="0"/>
    <x v="17"/>
    <x v="7"/>
    <x v="1"/>
    <x v="1"/>
  </r>
  <r>
    <x v="104"/>
    <x v="8"/>
    <x v="2"/>
    <n v="18.5"/>
    <n v="55.5"/>
    <x v="4"/>
    <d v="2025-01-10T00:00:00"/>
    <x v="2"/>
    <x v="1"/>
    <x v="2"/>
    <x v="0"/>
    <x v="11"/>
    <x v="0"/>
    <x v="1"/>
    <x v="2"/>
  </r>
  <r>
    <x v="105"/>
    <x v="16"/>
    <x v="2"/>
    <n v="84.5"/>
    <n v="253.5"/>
    <x v="4"/>
    <d v="2025-01-07T00:00:00"/>
    <x v="2"/>
    <x v="4"/>
    <x v="1"/>
    <x v="0"/>
    <x v="13"/>
    <x v="1"/>
    <x v="1"/>
    <x v="2"/>
  </r>
  <r>
    <x v="106"/>
    <x v="15"/>
    <x v="3"/>
    <n v="31.2"/>
    <n v="218.4"/>
    <x v="4"/>
    <d v="2025-01-05T00:00:00"/>
    <x v="2"/>
    <x v="2"/>
    <x v="2"/>
    <x v="0"/>
    <x v="3"/>
    <x v="7"/>
    <x v="1"/>
    <x v="2"/>
  </r>
  <r>
    <x v="107"/>
    <x v="8"/>
    <x v="16"/>
    <n v="32.6"/>
    <n v="586.80000000000007"/>
    <x v="4"/>
    <d v="2025-01-06T00:00:00"/>
    <x v="1"/>
    <x v="1"/>
    <x v="1"/>
    <x v="0"/>
    <x v="3"/>
    <x v="3"/>
    <x v="1"/>
    <x v="1"/>
  </r>
  <r>
    <x v="108"/>
    <x v="10"/>
    <x v="12"/>
    <n v="45.4"/>
    <n v="181.6"/>
    <x v="4"/>
    <d v="2025-01-07T00:00:00"/>
    <x v="1"/>
    <x v="1"/>
    <x v="0"/>
    <x v="0"/>
    <x v="3"/>
    <x v="1"/>
    <x v="1"/>
    <x v="1"/>
  </r>
  <r>
    <x v="109"/>
    <x v="2"/>
    <x v="4"/>
    <n v="120"/>
    <n v="1440"/>
    <x v="4"/>
    <d v="2025-01-06T00:00:00"/>
    <x v="2"/>
    <x v="2"/>
    <x v="4"/>
    <x v="0"/>
    <x v="3"/>
    <x v="3"/>
    <x v="1"/>
    <x v="2"/>
  </r>
  <r>
    <x v="110"/>
    <x v="0"/>
    <x v="12"/>
    <n v="18.899999999999999"/>
    <n v="75.599999999999994"/>
    <x v="4"/>
    <d v="2025-01-07T00:00:00"/>
    <x v="1"/>
    <x v="0"/>
    <x v="2"/>
    <x v="0"/>
    <x v="3"/>
    <x v="1"/>
    <x v="1"/>
    <x v="1"/>
  </r>
  <r>
    <x v="111"/>
    <x v="4"/>
    <x v="0"/>
    <n v="32"/>
    <n v="32"/>
    <x v="4"/>
    <d v="2025-01-07T00:00:00"/>
    <x v="2"/>
    <x v="4"/>
    <x v="0"/>
    <x v="0"/>
    <x v="3"/>
    <x v="1"/>
    <x v="1"/>
    <x v="2"/>
  </r>
  <r>
    <x v="112"/>
    <x v="7"/>
    <x v="1"/>
    <n v="37.299999999999997"/>
    <n v="74.599999999999994"/>
    <x v="4"/>
    <d v="2025-01-06T00:00:00"/>
    <x v="1"/>
    <x v="2"/>
    <x v="0"/>
    <x v="0"/>
    <x v="3"/>
    <x v="3"/>
    <x v="1"/>
    <x v="1"/>
  </r>
  <r>
    <x v="113"/>
    <x v="18"/>
    <x v="0"/>
    <n v="119.8"/>
    <n v="119.8"/>
    <x v="4"/>
    <d v="2025-01-06T00:00:00"/>
    <x v="1"/>
    <x v="1"/>
    <x v="1"/>
    <x v="0"/>
    <x v="3"/>
    <x v="3"/>
    <x v="1"/>
    <x v="1"/>
  </r>
  <r>
    <x v="114"/>
    <x v="10"/>
    <x v="1"/>
    <n v="26.4"/>
    <n v="52.8"/>
    <x v="4"/>
    <d v="2025-01-08T00:00:00"/>
    <x v="1"/>
    <x v="2"/>
    <x v="0"/>
    <x v="0"/>
    <x v="3"/>
    <x v="2"/>
    <x v="1"/>
    <x v="1"/>
  </r>
  <r>
    <x v="115"/>
    <x v="6"/>
    <x v="13"/>
    <n v="76.5"/>
    <n v="459"/>
    <x v="4"/>
    <d v="2025-01-06T00:00:00"/>
    <x v="2"/>
    <x v="1"/>
    <x v="1"/>
    <x v="0"/>
    <x v="3"/>
    <x v="3"/>
    <x v="1"/>
    <x v="2"/>
  </r>
  <r>
    <x v="116"/>
    <x v="4"/>
    <x v="7"/>
    <n v="45.7"/>
    <n v="457"/>
    <x v="4"/>
    <d v="2025-01-06T00:00:00"/>
    <x v="2"/>
    <x v="2"/>
    <x v="0"/>
    <x v="0"/>
    <x v="24"/>
    <x v="3"/>
    <x v="1"/>
    <x v="2"/>
  </r>
  <r>
    <x v="117"/>
    <x v="1"/>
    <x v="4"/>
    <n v="92.6"/>
    <n v="1111.1999999999998"/>
    <x v="4"/>
    <d v="2025-01-07T00:00:00"/>
    <x v="2"/>
    <x v="2"/>
    <x v="0"/>
    <x v="0"/>
    <x v="25"/>
    <x v="1"/>
    <x v="1"/>
    <x v="2"/>
  </r>
  <r>
    <x v="118"/>
    <x v="6"/>
    <x v="13"/>
    <n v="60.1"/>
    <n v="360.6"/>
    <x v="4"/>
    <d v="2025-01-06T00:00:00"/>
    <x v="1"/>
    <x v="1"/>
    <x v="0"/>
    <x v="0"/>
    <x v="23"/>
    <x v="3"/>
    <x v="1"/>
    <x v="1"/>
  </r>
  <r>
    <x v="119"/>
    <x v="1"/>
    <x v="2"/>
    <n v="73"/>
    <n v="219"/>
    <x v="4"/>
    <d v="2025-01-06T00:00:00"/>
    <x v="2"/>
    <x v="3"/>
    <x v="1"/>
    <x v="0"/>
    <x v="6"/>
    <x v="3"/>
    <x v="1"/>
    <x v="2"/>
  </r>
  <r>
    <x v="120"/>
    <x v="6"/>
    <x v="2"/>
    <n v="44.3"/>
    <n v="132.89999999999998"/>
    <x v="4"/>
    <d v="2025-01-09T00:00:00"/>
    <x v="0"/>
    <x v="2"/>
    <x v="2"/>
    <x v="0"/>
    <x v="6"/>
    <x v="5"/>
    <x v="1"/>
    <x v="0"/>
  </r>
  <r>
    <x v="121"/>
    <x v="6"/>
    <x v="2"/>
    <n v="63.3"/>
    <n v="189.89999999999998"/>
    <x v="4"/>
    <d v="2025-01-06T00:00:00"/>
    <x v="1"/>
    <x v="2"/>
    <x v="0"/>
    <x v="0"/>
    <x v="6"/>
    <x v="3"/>
    <x v="1"/>
    <x v="1"/>
  </r>
  <r>
    <x v="122"/>
    <x v="12"/>
    <x v="0"/>
    <n v="66.8"/>
    <n v="66.8"/>
    <x v="4"/>
    <d v="2025-01-06T00:00:00"/>
    <x v="2"/>
    <x v="1"/>
    <x v="0"/>
    <x v="0"/>
    <x v="6"/>
    <x v="3"/>
    <x v="1"/>
    <x v="2"/>
  </r>
  <r>
    <x v="123"/>
    <x v="2"/>
    <x v="1"/>
    <n v="59.7"/>
    <n v="119.4"/>
    <x v="4"/>
    <d v="2025-01-06T00:00:00"/>
    <x v="2"/>
    <x v="0"/>
    <x v="0"/>
    <x v="0"/>
    <x v="7"/>
    <x v="3"/>
    <x v="1"/>
    <x v="2"/>
  </r>
  <r>
    <x v="124"/>
    <x v="1"/>
    <x v="13"/>
    <n v="92"/>
    <n v="552"/>
    <x v="4"/>
    <d v="2025-01-07T00:00:00"/>
    <x v="1"/>
    <x v="0"/>
    <x v="4"/>
    <x v="0"/>
    <x v="7"/>
    <x v="1"/>
    <x v="1"/>
    <x v="1"/>
  </r>
  <r>
    <x v="125"/>
    <x v="7"/>
    <x v="1"/>
    <n v="87.6"/>
    <n v="175.2"/>
    <x v="4"/>
    <d v="2025-01-07T00:00:00"/>
    <x v="1"/>
    <x v="1"/>
    <x v="1"/>
    <x v="0"/>
    <x v="8"/>
    <x v="1"/>
    <x v="1"/>
    <x v="1"/>
  </r>
  <r>
    <x v="126"/>
    <x v="6"/>
    <x v="2"/>
    <n v="84.5"/>
    <n v="253.5"/>
    <x v="4"/>
    <d v="2025-01-06T00:00:00"/>
    <x v="2"/>
    <x v="1"/>
    <x v="1"/>
    <x v="0"/>
    <x v="8"/>
    <x v="3"/>
    <x v="1"/>
    <x v="2"/>
  </r>
  <r>
    <x v="127"/>
    <x v="1"/>
    <x v="1"/>
    <n v="116.3"/>
    <n v="232.6"/>
    <x v="5"/>
    <d v="2025-01-08T00:00:00"/>
    <x v="1"/>
    <x v="2"/>
    <x v="2"/>
    <x v="0"/>
    <x v="8"/>
    <x v="1"/>
    <x v="1"/>
    <x v="1"/>
  </r>
  <r>
    <x v="128"/>
    <x v="6"/>
    <x v="9"/>
    <n v="52.7"/>
    <n v="263.5"/>
    <x v="5"/>
    <d v="2025-01-10T00:00:00"/>
    <x v="1"/>
    <x v="0"/>
    <x v="0"/>
    <x v="0"/>
    <x v="8"/>
    <x v="5"/>
    <x v="1"/>
    <x v="1"/>
  </r>
  <r>
    <x v="129"/>
    <x v="16"/>
    <x v="2"/>
    <n v="34.200000000000003"/>
    <n v="102.60000000000001"/>
    <x v="5"/>
    <d v="2025-01-07T00:00:00"/>
    <x v="1"/>
    <x v="0"/>
    <x v="2"/>
    <x v="0"/>
    <x v="26"/>
    <x v="3"/>
    <x v="1"/>
    <x v="1"/>
  </r>
  <r>
    <x v="130"/>
    <x v="9"/>
    <x v="0"/>
    <n v="23.3"/>
    <n v="23.3"/>
    <x v="5"/>
    <d v="2025-01-15T00:00:00"/>
    <x v="3"/>
    <x v="2"/>
    <x v="2"/>
    <x v="0"/>
    <x v="9"/>
    <x v="8"/>
    <x v="1"/>
    <x v="3"/>
  </r>
  <r>
    <x v="131"/>
    <x v="0"/>
    <x v="18"/>
    <n v="25.9"/>
    <n v="673.4"/>
    <x v="5"/>
    <d v="2025-01-09T00:00:00"/>
    <x v="2"/>
    <x v="4"/>
    <x v="1"/>
    <x v="0"/>
    <x v="9"/>
    <x v="2"/>
    <x v="1"/>
    <x v="2"/>
  </r>
  <r>
    <x v="132"/>
    <x v="6"/>
    <x v="19"/>
    <n v="54.9"/>
    <n v="1592.1"/>
    <x v="5"/>
    <d v="2025-01-07T00:00:00"/>
    <x v="1"/>
    <x v="1"/>
    <x v="2"/>
    <x v="0"/>
    <x v="9"/>
    <x v="3"/>
    <x v="1"/>
    <x v="1"/>
  </r>
  <r>
    <x v="133"/>
    <x v="5"/>
    <x v="2"/>
    <n v="75.8"/>
    <n v="227.39999999999998"/>
    <x v="5"/>
    <d v="2025-01-11T00:00:00"/>
    <x v="3"/>
    <x v="1"/>
    <x v="0"/>
    <x v="0"/>
    <x v="18"/>
    <x v="0"/>
    <x v="1"/>
    <x v="3"/>
  </r>
  <r>
    <x v="134"/>
    <x v="1"/>
    <x v="11"/>
    <n v="44.9"/>
    <n v="404.09999999999997"/>
    <x v="5"/>
    <d v="2025-01-09T00:00:00"/>
    <x v="2"/>
    <x v="2"/>
    <x v="2"/>
    <x v="0"/>
    <x v="2"/>
    <x v="2"/>
    <x v="1"/>
    <x v="2"/>
  </r>
  <r>
    <x v="135"/>
    <x v="11"/>
    <x v="1"/>
    <n v="48.8"/>
    <n v="97.6"/>
    <x v="5"/>
    <d v="2025-01-08T00:00:00"/>
    <x v="2"/>
    <x v="3"/>
    <x v="0"/>
    <x v="0"/>
    <x v="27"/>
    <x v="1"/>
    <x v="1"/>
    <x v="2"/>
  </r>
  <r>
    <x v="136"/>
    <x v="15"/>
    <x v="0"/>
    <n v="20.3"/>
    <n v="20.3"/>
    <x v="5"/>
    <d v="2025-01-07T00:00:00"/>
    <x v="2"/>
    <x v="0"/>
    <x v="2"/>
    <x v="0"/>
    <x v="22"/>
    <x v="3"/>
    <x v="1"/>
    <x v="2"/>
  </r>
  <r>
    <x v="137"/>
    <x v="5"/>
    <x v="3"/>
    <n v="36.4"/>
    <n v="254.79999999999998"/>
    <x v="5"/>
    <d v="2025-01-09T00:00:00"/>
    <x v="2"/>
    <x v="0"/>
    <x v="1"/>
    <x v="0"/>
    <x v="3"/>
    <x v="2"/>
    <x v="1"/>
    <x v="2"/>
  </r>
  <r>
    <x v="138"/>
    <x v="0"/>
    <x v="0"/>
    <n v="19"/>
    <n v="19"/>
    <x v="5"/>
    <d v="2025-01-11T00:00:00"/>
    <x v="2"/>
    <x v="1"/>
    <x v="2"/>
    <x v="0"/>
    <x v="3"/>
    <x v="0"/>
    <x v="1"/>
    <x v="2"/>
  </r>
  <r>
    <x v="139"/>
    <x v="8"/>
    <x v="0"/>
    <n v="17.8"/>
    <n v="17.8"/>
    <x v="5"/>
    <d v="2025-01-06T00:00:00"/>
    <x v="1"/>
    <x v="0"/>
    <x v="0"/>
    <x v="0"/>
    <x v="3"/>
    <x v="7"/>
    <x v="1"/>
    <x v="1"/>
  </r>
  <r>
    <x v="140"/>
    <x v="2"/>
    <x v="13"/>
    <n v="139.6"/>
    <n v="837.59999999999991"/>
    <x v="5"/>
    <d v="2025-01-09T00:00:00"/>
    <x v="1"/>
    <x v="0"/>
    <x v="0"/>
    <x v="0"/>
    <x v="3"/>
    <x v="2"/>
    <x v="1"/>
    <x v="1"/>
  </r>
  <r>
    <x v="141"/>
    <x v="9"/>
    <x v="0"/>
    <n v="31.7"/>
    <n v="31.7"/>
    <x v="5"/>
    <d v="2025-01-06T00:00:00"/>
    <x v="0"/>
    <x v="0"/>
    <x v="0"/>
    <x v="0"/>
    <x v="3"/>
    <x v="7"/>
    <x v="1"/>
    <x v="0"/>
  </r>
  <r>
    <x v="142"/>
    <x v="8"/>
    <x v="8"/>
    <n v="26.3"/>
    <n v="210.4"/>
    <x v="5"/>
    <d v="2025-01-09T00:00:00"/>
    <x v="2"/>
    <x v="4"/>
    <x v="4"/>
    <x v="0"/>
    <x v="3"/>
    <x v="2"/>
    <x v="1"/>
    <x v="2"/>
  </r>
  <r>
    <x v="143"/>
    <x v="4"/>
    <x v="1"/>
    <n v="47.8"/>
    <n v="95.6"/>
    <x v="5"/>
    <d v="2025-01-07T00:00:00"/>
    <x v="0"/>
    <x v="0"/>
    <x v="0"/>
    <x v="0"/>
    <x v="3"/>
    <x v="3"/>
    <x v="1"/>
    <x v="0"/>
  </r>
  <r>
    <x v="144"/>
    <x v="9"/>
    <x v="2"/>
    <n v="69.400000000000006"/>
    <n v="208.20000000000002"/>
    <x v="5"/>
    <d v="2025-01-10T00:00:00"/>
    <x v="2"/>
    <x v="0"/>
    <x v="0"/>
    <x v="0"/>
    <x v="3"/>
    <x v="5"/>
    <x v="1"/>
    <x v="2"/>
  </r>
  <r>
    <x v="145"/>
    <x v="18"/>
    <x v="4"/>
    <n v="25.8"/>
    <n v="309.60000000000002"/>
    <x v="5"/>
    <d v="2025-01-07T00:00:00"/>
    <x v="1"/>
    <x v="4"/>
    <x v="4"/>
    <x v="0"/>
    <x v="3"/>
    <x v="3"/>
    <x v="1"/>
    <x v="1"/>
  </r>
  <r>
    <x v="146"/>
    <x v="0"/>
    <x v="12"/>
    <n v="26.4"/>
    <n v="105.6"/>
    <x v="5"/>
    <d v="2025-01-07T00:00:00"/>
    <x v="1"/>
    <x v="1"/>
    <x v="2"/>
    <x v="0"/>
    <x v="3"/>
    <x v="3"/>
    <x v="1"/>
    <x v="1"/>
  </r>
  <r>
    <x v="147"/>
    <x v="8"/>
    <x v="12"/>
    <n v="15.7"/>
    <n v="62.8"/>
    <x v="5"/>
    <d v="2025-01-07T00:00:00"/>
    <x v="1"/>
    <x v="2"/>
    <x v="0"/>
    <x v="0"/>
    <x v="3"/>
    <x v="3"/>
    <x v="1"/>
    <x v="1"/>
  </r>
  <r>
    <x v="148"/>
    <x v="8"/>
    <x v="0"/>
    <n v="39.700000000000003"/>
    <n v="39.700000000000003"/>
    <x v="5"/>
    <d v="2025-01-10T00:00:00"/>
    <x v="1"/>
    <x v="0"/>
    <x v="0"/>
    <x v="0"/>
    <x v="3"/>
    <x v="5"/>
    <x v="1"/>
    <x v="1"/>
  </r>
  <r>
    <x v="149"/>
    <x v="10"/>
    <x v="12"/>
    <n v="31.1"/>
    <n v="124.4"/>
    <x v="5"/>
    <d v="2025-01-08T00:00:00"/>
    <x v="2"/>
    <x v="2"/>
    <x v="1"/>
    <x v="0"/>
    <x v="3"/>
    <x v="1"/>
    <x v="1"/>
    <x v="2"/>
  </r>
  <r>
    <x v="150"/>
    <x v="13"/>
    <x v="20"/>
    <n v="23.4"/>
    <n v="351"/>
    <x v="5"/>
    <d v="2025-01-15T00:00:00"/>
    <x v="1"/>
    <x v="0"/>
    <x v="0"/>
    <x v="0"/>
    <x v="3"/>
    <x v="8"/>
    <x v="1"/>
    <x v="1"/>
  </r>
  <r>
    <x v="151"/>
    <x v="1"/>
    <x v="12"/>
    <n v="57.1"/>
    <n v="228.4"/>
    <x v="6"/>
    <d v="2025-01-08T00:00:00"/>
    <x v="1"/>
    <x v="2"/>
    <x v="0"/>
    <x v="0"/>
    <x v="25"/>
    <x v="3"/>
    <x v="1"/>
    <x v="1"/>
  </r>
  <r>
    <x v="152"/>
    <x v="2"/>
    <x v="9"/>
    <n v="89.9"/>
    <n v="449.5"/>
    <x v="6"/>
    <d v="2025-01-07T00:00:00"/>
    <x v="2"/>
    <x v="0"/>
    <x v="3"/>
    <x v="0"/>
    <x v="23"/>
    <x v="7"/>
    <x v="1"/>
    <x v="2"/>
  </r>
  <r>
    <x v="153"/>
    <x v="10"/>
    <x v="3"/>
    <n v="48.1"/>
    <n v="336.7"/>
    <x v="6"/>
    <d v="2025-01-09T00:00:00"/>
    <x v="2"/>
    <x v="1"/>
    <x v="2"/>
    <x v="0"/>
    <x v="6"/>
    <x v="1"/>
    <x v="1"/>
    <x v="2"/>
  </r>
  <r>
    <x v="154"/>
    <x v="8"/>
    <x v="1"/>
    <n v="29.3"/>
    <n v="58.6"/>
    <x v="6"/>
    <d v="2025-01-07T00:00:00"/>
    <x v="2"/>
    <x v="1"/>
    <x v="1"/>
    <x v="0"/>
    <x v="6"/>
    <x v="7"/>
    <x v="1"/>
    <x v="2"/>
  </r>
  <r>
    <x v="155"/>
    <x v="8"/>
    <x v="12"/>
    <n v="28.8"/>
    <n v="115.2"/>
    <x v="6"/>
    <d v="2025-01-08T00:00:00"/>
    <x v="2"/>
    <x v="0"/>
    <x v="4"/>
    <x v="0"/>
    <x v="6"/>
    <x v="3"/>
    <x v="1"/>
    <x v="2"/>
  </r>
  <r>
    <x v="156"/>
    <x v="10"/>
    <x v="9"/>
    <n v="40.5"/>
    <n v="202.5"/>
    <x v="6"/>
    <d v="2025-01-11T00:00:00"/>
    <x v="2"/>
    <x v="3"/>
    <x v="0"/>
    <x v="0"/>
    <x v="6"/>
    <x v="5"/>
    <x v="1"/>
    <x v="2"/>
  </r>
  <r>
    <x v="157"/>
    <x v="18"/>
    <x v="21"/>
    <n v="65.099999999999994"/>
    <n v="911.39999999999986"/>
    <x v="6"/>
    <d v="2025-01-08T00:00:00"/>
    <x v="2"/>
    <x v="4"/>
    <x v="0"/>
    <x v="0"/>
    <x v="7"/>
    <x v="3"/>
    <x v="1"/>
    <x v="2"/>
  </r>
  <r>
    <x v="158"/>
    <x v="8"/>
    <x v="12"/>
    <n v="40.299999999999997"/>
    <n v="161.19999999999999"/>
    <x v="6"/>
    <d v="2025-01-12T00:00:00"/>
    <x v="2"/>
    <x v="2"/>
    <x v="0"/>
    <x v="0"/>
    <x v="7"/>
    <x v="0"/>
    <x v="1"/>
    <x v="2"/>
  </r>
  <r>
    <x v="159"/>
    <x v="6"/>
    <x v="9"/>
    <n v="51.8"/>
    <n v="259"/>
    <x v="6"/>
    <d v="2025-01-08T00:00:00"/>
    <x v="1"/>
    <x v="2"/>
    <x v="2"/>
    <x v="0"/>
    <x v="8"/>
    <x v="3"/>
    <x v="1"/>
    <x v="1"/>
  </r>
  <r>
    <x v="160"/>
    <x v="6"/>
    <x v="2"/>
    <n v="61.3"/>
    <n v="183.89999999999998"/>
    <x v="6"/>
    <d v="2025-01-08T00:00:00"/>
    <x v="2"/>
    <x v="3"/>
    <x v="0"/>
    <x v="0"/>
    <x v="8"/>
    <x v="3"/>
    <x v="1"/>
    <x v="2"/>
  </r>
  <r>
    <x v="161"/>
    <x v="2"/>
    <x v="12"/>
    <n v="122.5"/>
    <n v="490"/>
    <x v="6"/>
    <d v="2025-01-08T00:00:00"/>
    <x v="1"/>
    <x v="0"/>
    <x v="0"/>
    <x v="0"/>
    <x v="8"/>
    <x v="3"/>
    <x v="1"/>
    <x v="1"/>
  </r>
  <r>
    <x v="162"/>
    <x v="0"/>
    <x v="11"/>
    <n v="12.5"/>
    <n v="112.5"/>
    <x v="6"/>
    <d v="2025-01-08T00:00:00"/>
    <x v="0"/>
    <x v="1"/>
    <x v="2"/>
    <x v="0"/>
    <x v="8"/>
    <x v="3"/>
    <x v="1"/>
    <x v="0"/>
  </r>
  <r>
    <x v="163"/>
    <x v="15"/>
    <x v="8"/>
    <n v="37.5"/>
    <n v="300"/>
    <x v="6"/>
    <d v="2025-01-08T00:00:00"/>
    <x v="2"/>
    <x v="0"/>
    <x v="0"/>
    <x v="0"/>
    <x v="9"/>
    <x v="3"/>
    <x v="1"/>
    <x v="2"/>
  </r>
  <r>
    <x v="164"/>
    <x v="6"/>
    <x v="2"/>
    <n v="40"/>
    <n v="120"/>
    <x v="6"/>
    <d v="2025-01-10T00:00:00"/>
    <x v="1"/>
    <x v="0"/>
    <x v="4"/>
    <x v="0"/>
    <x v="11"/>
    <x v="2"/>
    <x v="1"/>
    <x v="1"/>
  </r>
  <r>
    <x v="165"/>
    <x v="17"/>
    <x v="8"/>
    <n v="38.5"/>
    <n v="308"/>
    <x v="6"/>
    <d v="2025-01-12T00:00:00"/>
    <x v="2"/>
    <x v="2"/>
    <x v="1"/>
    <x v="0"/>
    <x v="11"/>
    <x v="0"/>
    <x v="1"/>
    <x v="2"/>
  </r>
  <r>
    <x v="166"/>
    <x v="2"/>
    <x v="1"/>
    <n v="86.4"/>
    <n v="172.8"/>
    <x v="6"/>
    <d v="2025-01-09T00:00:00"/>
    <x v="2"/>
    <x v="0"/>
    <x v="0"/>
    <x v="0"/>
    <x v="18"/>
    <x v="1"/>
    <x v="1"/>
    <x v="2"/>
  </r>
  <r>
    <x v="167"/>
    <x v="10"/>
    <x v="0"/>
    <n v="50.7"/>
    <n v="50.7"/>
    <x v="6"/>
    <d v="2025-01-11T00:00:00"/>
    <x v="2"/>
    <x v="1"/>
    <x v="0"/>
    <x v="0"/>
    <x v="18"/>
    <x v="5"/>
    <x v="1"/>
    <x v="2"/>
  </r>
  <r>
    <x v="168"/>
    <x v="10"/>
    <x v="1"/>
    <n v="61"/>
    <n v="122"/>
    <x v="6"/>
    <d v="2025-01-18T00:00:00"/>
    <x v="2"/>
    <x v="4"/>
    <x v="1"/>
    <x v="0"/>
    <x v="18"/>
    <x v="11"/>
    <x v="1"/>
    <x v="2"/>
  </r>
  <r>
    <x v="169"/>
    <x v="4"/>
    <x v="1"/>
    <n v="19.899999999999999"/>
    <n v="39.799999999999997"/>
    <x v="6"/>
    <d v="2025-01-10T00:00:00"/>
    <x v="2"/>
    <x v="1"/>
    <x v="0"/>
    <x v="0"/>
    <x v="28"/>
    <x v="2"/>
    <x v="1"/>
    <x v="2"/>
  </r>
  <r>
    <x v="170"/>
    <x v="5"/>
    <x v="0"/>
    <n v="78.3"/>
    <n v="78.3"/>
    <x v="6"/>
    <d v="2025-01-07T00:00:00"/>
    <x v="2"/>
    <x v="0"/>
    <x v="2"/>
    <x v="0"/>
    <x v="1"/>
    <x v="7"/>
    <x v="1"/>
    <x v="2"/>
  </r>
  <r>
    <x v="171"/>
    <x v="0"/>
    <x v="10"/>
    <n v="10.4"/>
    <n v="197.6"/>
    <x v="6"/>
    <d v="2025-01-09T00:00:00"/>
    <x v="1"/>
    <x v="0"/>
    <x v="2"/>
    <x v="0"/>
    <x v="2"/>
    <x v="1"/>
    <x v="1"/>
    <x v="1"/>
  </r>
  <r>
    <x v="172"/>
    <x v="10"/>
    <x v="0"/>
    <n v="36.1"/>
    <n v="36.1"/>
    <x v="6"/>
    <d v="2025-01-10T00:00:00"/>
    <x v="1"/>
    <x v="3"/>
    <x v="2"/>
    <x v="0"/>
    <x v="3"/>
    <x v="2"/>
    <x v="1"/>
    <x v="1"/>
  </r>
  <r>
    <x v="173"/>
    <x v="14"/>
    <x v="1"/>
    <n v="17.3"/>
    <n v="34.6"/>
    <x v="6"/>
    <d v="2025-01-09T00:00:00"/>
    <x v="2"/>
    <x v="1"/>
    <x v="2"/>
    <x v="0"/>
    <x v="3"/>
    <x v="1"/>
    <x v="1"/>
    <x v="2"/>
  </r>
  <r>
    <x v="174"/>
    <x v="10"/>
    <x v="1"/>
    <n v="30.5"/>
    <n v="61"/>
    <x v="6"/>
    <d v="2025-01-08T00:00:00"/>
    <x v="2"/>
    <x v="1"/>
    <x v="2"/>
    <x v="0"/>
    <x v="3"/>
    <x v="3"/>
    <x v="1"/>
    <x v="2"/>
  </r>
  <r>
    <x v="175"/>
    <x v="18"/>
    <x v="22"/>
    <n v="70.099999999999994"/>
    <n v="4346.2"/>
    <x v="6"/>
    <d v="2025-01-07T00:00:00"/>
    <x v="2"/>
    <x v="2"/>
    <x v="0"/>
    <x v="0"/>
    <x v="3"/>
    <x v="7"/>
    <x v="1"/>
    <x v="2"/>
  </r>
  <r>
    <x v="176"/>
    <x v="3"/>
    <x v="0"/>
    <n v="76.099999999999994"/>
    <n v="76.099999999999994"/>
    <x v="6"/>
    <d v="2025-01-07T00:00:00"/>
    <x v="2"/>
    <x v="2"/>
    <x v="1"/>
    <x v="0"/>
    <x v="3"/>
    <x v="7"/>
    <x v="1"/>
    <x v="2"/>
  </r>
  <r>
    <x v="177"/>
    <x v="15"/>
    <x v="15"/>
    <n v="34.200000000000003"/>
    <n v="444.6"/>
    <x v="6"/>
    <d v="2025-01-08T00:00:00"/>
    <x v="1"/>
    <x v="0"/>
    <x v="0"/>
    <x v="0"/>
    <x v="3"/>
    <x v="3"/>
    <x v="1"/>
    <x v="1"/>
  </r>
  <r>
    <x v="178"/>
    <x v="8"/>
    <x v="9"/>
    <n v="30.3"/>
    <n v="151.5"/>
    <x v="6"/>
    <d v="2025-01-12T00:00:00"/>
    <x v="2"/>
    <x v="4"/>
    <x v="0"/>
    <x v="0"/>
    <x v="3"/>
    <x v="0"/>
    <x v="1"/>
    <x v="2"/>
  </r>
  <r>
    <x v="179"/>
    <x v="6"/>
    <x v="9"/>
    <n v="52.5"/>
    <n v="262.5"/>
    <x v="6"/>
    <d v="2025-01-11T00:00:00"/>
    <x v="0"/>
    <x v="3"/>
    <x v="0"/>
    <x v="0"/>
    <x v="3"/>
    <x v="5"/>
    <x v="1"/>
    <x v="0"/>
  </r>
  <r>
    <x v="180"/>
    <x v="9"/>
    <x v="5"/>
    <n v="28.7"/>
    <n v="315.7"/>
    <x v="6"/>
    <d v="2025-01-08T00:00:00"/>
    <x v="2"/>
    <x v="2"/>
    <x v="0"/>
    <x v="0"/>
    <x v="3"/>
    <x v="3"/>
    <x v="1"/>
    <x v="2"/>
  </r>
  <r>
    <x v="181"/>
    <x v="7"/>
    <x v="3"/>
    <n v="52"/>
    <n v="364"/>
    <x v="6"/>
    <d v="2025-01-08T00:00:00"/>
    <x v="1"/>
    <x v="1"/>
    <x v="4"/>
    <x v="0"/>
    <x v="3"/>
    <x v="3"/>
    <x v="1"/>
    <x v="1"/>
  </r>
  <r>
    <x v="182"/>
    <x v="0"/>
    <x v="0"/>
    <n v="13.3"/>
    <n v="13.3"/>
    <x v="7"/>
    <d v="2025-01-12T00:00:00"/>
    <x v="2"/>
    <x v="2"/>
    <x v="1"/>
    <x v="0"/>
    <x v="3"/>
    <x v="5"/>
    <x v="1"/>
    <x v="2"/>
  </r>
  <r>
    <x v="183"/>
    <x v="0"/>
    <x v="2"/>
    <n v="15.7"/>
    <n v="47.099999999999994"/>
    <x v="7"/>
    <d v="2025-01-09T00:00:00"/>
    <x v="2"/>
    <x v="1"/>
    <x v="0"/>
    <x v="0"/>
    <x v="29"/>
    <x v="3"/>
    <x v="1"/>
    <x v="2"/>
  </r>
  <r>
    <x v="184"/>
    <x v="8"/>
    <x v="1"/>
    <n v="25.6"/>
    <n v="51.2"/>
    <x v="7"/>
    <d v="2025-01-09T00:00:00"/>
    <x v="1"/>
    <x v="0"/>
    <x v="2"/>
    <x v="0"/>
    <x v="23"/>
    <x v="3"/>
    <x v="1"/>
    <x v="1"/>
  </r>
  <r>
    <x v="185"/>
    <x v="8"/>
    <x v="0"/>
    <n v="43.4"/>
    <n v="43.4"/>
    <x v="7"/>
    <d v="2025-01-13T00:00:00"/>
    <x v="1"/>
    <x v="0"/>
    <x v="0"/>
    <x v="0"/>
    <x v="6"/>
    <x v="0"/>
    <x v="1"/>
    <x v="1"/>
  </r>
  <r>
    <x v="186"/>
    <x v="11"/>
    <x v="11"/>
    <n v="33.4"/>
    <n v="300.59999999999997"/>
    <x v="7"/>
    <d v="2025-01-08T00:00:00"/>
    <x v="2"/>
    <x v="0"/>
    <x v="0"/>
    <x v="0"/>
    <x v="8"/>
    <x v="7"/>
    <x v="1"/>
    <x v="2"/>
  </r>
  <r>
    <x v="187"/>
    <x v="8"/>
    <x v="10"/>
    <n v="55"/>
    <n v="1045"/>
    <x v="7"/>
    <d v="2025-01-09T00:00:00"/>
    <x v="2"/>
    <x v="1"/>
    <x v="2"/>
    <x v="0"/>
    <x v="8"/>
    <x v="3"/>
    <x v="1"/>
    <x v="2"/>
  </r>
  <r>
    <x v="188"/>
    <x v="8"/>
    <x v="2"/>
    <n v="23.6"/>
    <n v="70.800000000000011"/>
    <x v="7"/>
    <d v="2025-01-09T00:00:00"/>
    <x v="1"/>
    <x v="0"/>
    <x v="2"/>
    <x v="0"/>
    <x v="8"/>
    <x v="3"/>
    <x v="1"/>
    <x v="1"/>
  </r>
  <r>
    <x v="189"/>
    <x v="12"/>
    <x v="11"/>
    <n v="104"/>
    <n v="936"/>
    <x v="7"/>
    <d v="2025-01-10T00:00:00"/>
    <x v="2"/>
    <x v="2"/>
    <x v="2"/>
    <x v="0"/>
    <x v="17"/>
    <x v="1"/>
    <x v="1"/>
    <x v="2"/>
  </r>
  <r>
    <x v="190"/>
    <x v="6"/>
    <x v="1"/>
    <n v="51.8"/>
    <n v="103.6"/>
    <x v="7"/>
    <d v="2025-01-12T00:00:00"/>
    <x v="0"/>
    <x v="0"/>
    <x v="2"/>
    <x v="0"/>
    <x v="10"/>
    <x v="5"/>
    <x v="1"/>
    <x v="0"/>
  </r>
  <r>
    <x v="191"/>
    <x v="10"/>
    <x v="9"/>
    <n v="34.5"/>
    <n v="172.5"/>
    <x v="7"/>
    <d v="2025-01-10T00:00:00"/>
    <x v="0"/>
    <x v="2"/>
    <x v="2"/>
    <x v="0"/>
    <x v="11"/>
    <x v="1"/>
    <x v="1"/>
    <x v="0"/>
  </r>
  <r>
    <x v="192"/>
    <x v="6"/>
    <x v="1"/>
    <n v="51.8"/>
    <n v="103.6"/>
    <x v="7"/>
    <d v="2025-01-10T00:00:00"/>
    <x v="1"/>
    <x v="1"/>
    <x v="2"/>
    <x v="0"/>
    <x v="30"/>
    <x v="1"/>
    <x v="1"/>
    <x v="1"/>
  </r>
  <r>
    <x v="193"/>
    <x v="18"/>
    <x v="23"/>
    <n v="131.5"/>
    <n v="5654.5"/>
    <x v="7"/>
    <d v="2025-01-09T00:00:00"/>
    <x v="2"/>
    <x v="0"/>
    <x v="2"/>
    <x v="0"/>
    <x v="18"/>
    <x v="3"/>
    <x v="1"/>
    <x v="2"/>
  </r>
  <r>
    <x v="194"/>
    <x v="8"/>
    <x v="3"/>
    <n v="47.8"/>
    <n v="334.59999999999997"/>
    <x v="7"/>
    <d v="2025-01-08T00:00:00"/>
    <x v="2"/>
    <x v="0"/>
    <x v="0"/>
    <x v="0"/>
    <x v="19"/>
    <x v="7"/>
    <x v="1"/>
    <x v="2"/>
  </r>
  <r>
    <x v="195"/>
    <x v="0"/>
    <x v="1"/>
    <n v="10.199999999999999"/>
    <n v="20.399999999999999"/>
    <x v="7"/>
    <d v="2025-01-10T00:00:00"/>
    <x v="2"/>
    <x v="0"/>
    <x v="0"/>
    <x v="0"/>
    <x v="19"/>
    <x v="1"/>
    <x v="1"/>
    <x v="2"/>
  </r>
  <r>
    <x v="196"/>
    <x v="8"/>
    <x v="8"/>
    <n v="41"/>
    <n v="328"/>
    <x v="7"/>
    <d v="2025-01-08T00:00:00"/>
    <x v="2"/>
    <x v="1"/>
    <x v="2"/>
    <x v="0"/>
    <x v="19"/>
    <x v="7"/>
    <x v="1"/>
    <x v="2"/>
  </r>
  <r>
    <x v="197"/>
    <x v="10"/>
    <x v="3"/>
    <n v="50.8"/>
    <n v="355.59999999999997"/>
    <x v="7"/>
    <d v="2025-01-11T00:00:00"/>
    <x v="2"/>
    <x v="1"/>
    <x v="0"/>
    <x v="0"/>
    <x v="21"/>
    <x v="2"/>
    <x v="1"/>
    <x v="2"/>
  </r>
  <r>
    <x v="198"/>
    <x v="18"/>
    <x v="2"/>
    <n v="39.6"/>
    <n v="118.80000000000001"/>
    <x v="7"/>
    <d v="2025-01-09T00:00:00"/>
    <x v="1"/>
    <x v="2"/>
    <x v="2"/>
    <x v="0"/>
    <x v="1"/>
    <x v="3"/>
    <x v="1"/>
    <x v="1"/>
  </r>
  <r>
    <x v="199"/>
    <x v="5"/>
    <x v="1"/>
    <n v="69.5"/>
    <n v="139"/>
    <x v="7"/>
    <d v="2025-01-10T00:00:00"/>
    <x v="1"/>
    <x v="0"/>
    <x v="2"/>
    <x v="0"/>
    <x v="2"/>
    <x v="1"/>
    <x v="1"/>
    <x v="1"/>
  </r>
  <r>
    <x v="200"/>
    <x v="8"/>
    <x v="8"/>
    <n v="32.6"/>
    <n v="260.8"/>
    <x v="7"/>
    <d v="2025-01-11T00:00:00"/>
    <x v="1"/>
    <x v="1"/>
    <x v="0"/>
    <x v="0"/>
    <x v="3"/>
    <x v="2"/>
    <x v="1"/>
    <x v="1"/>
  </r>
  <r>
    <x v="201"/>
    <x v="7"/>
    <x v="1"/>
    <n v="49.1"/>
    <n v="98.2"/>
    <x v="7"/>
    <d v="2025-01-16T00:00:00"/>
    <x v="1"/>
    <x v="3"/>
    <x v="2"/>
    <x v="0"/>
    <x v="3"/>
    <x v="9"/>
    <x v="1"/>
    <x v="1"/>
  </r>
  <r>
    <x v="202"/>
    <x v="6"/>
    <x v="1"/>
    <n v="49.4"/>
    <n v="98.8"/>
    <x v="8"/>
    <d v="2025-01-10T00:00:00"/>
    <x v="2"/>
    <x v="2"/>
    <x v="0"/>
    <x v="0"/>
    <x v="3"/>
    <x v="3"/>
    <x v="1"/>
    <x v="2"/>
  </r>
  <r>
    <x v="203"/>
    <x v="7"/>
    <x v="3"/>
    <n v="65.099999999999994"/>
    <n v="455.69999999999993"/>
    <x v="8"/>
    <d v="2025-01-12T00:00:00"/>
    <x v="2"/>
    <x v="2"/>
    <x v="2"/>
    <x v="0"/>
    <x v="3"/>
    <x v="2"/>
    <x v="1"/>
    <x v="2"/>
  </r>
  <r>
    <x v="204"/>
    <x v="3"/>
    <x v="1"/>
    <n v="52.1"/>
    <n v="104.2"/>
    <x v="8"/>
    <d v="2025-01-13T00:00:00"/>
    <x v="2"/>
    <x v="2"/>
    <x v="0"/>
    <x v="0"/>
    <x v="3"/>
    <x v="5"/>
    <x v="1"/>
    <x v="2"/>
  </r>
  <r>
    <x v="205"/>
    <x v="2"/>
    <x v="12"/>
    <n v="129.19999999999999"/>
    <n v="516.79999999999995"/>
    <x v="8"/>
    <d v="2025-01-10T00:00:00"/>
    <x v="2"/>
    <x v="1"/>
    <x v="0"/>
    <x v="0"/>
    <x v="3"/>
    <x v="3"/>
    <x v="1"/>
    <x v="2"/>
  </r>
  <r>
    <x v="206"/>
    <x v="1"/>
    <x v="10"/>
    <n v="81.8"/>
    <n v="1554.2"/>
    <x v="8"/>
    <d v="2025-01-09T00:00:00"/>
    <x v="2"/>
    <x v="1"/>
    <x v="1"/>
    <x v="0"/>
    <x v="3"/>
    <x v="7"/>
    <x v="1"/>
    <x v="2"/>
  </r>
  <r>
    <x v="207"/>
    <x v="17"/>
    <x v="0"/>
    <n v="24.9"/>
    <n v="24.9"/>
    <x v="8"/>
    <d v="2025-01-13T00:00:00"/>
    <x v="2"/>
    <x v="1"/>
    <x v="0"/>
    <x v="0"/>
    <x v="3"/>
    <x v="5"/>
    <x v="1"/>
    <x v="2"/>
  </r>
  <r>
    <x v="208"/>
    <x v="0"/>
    <x v="2"/>
    <n v="49.4"/>
    <n v="148.19999999999999"/>
    <x v="8"/>
    <d v="2025-01-12T00:00:00"/>
    <x v="2"/>
    <x v="4"/>
    <x v="4"/>
    <x v="0"/>
    <x v="3"/>
    <x v="2"/>
    <x v="1"/>
    <x v="2"/>
  </r>
  <r>
    <x v="209"/>
    <x v="8"/>
    <x v="1"/>
    <n v="22.7"/>
    <n v="45.4"/>
    <x v="8"/>
    <d v="2025-01-10T00:00:00"/>
    <x v="1"/>
    <x v="3"/>
    <x v="2"/>
    <x v="0"/>
    <x v="3"/>
    <x v="3"/>
    <x v="1"/>
    <x v="1"/>
  </r>
  <r>
    <x v="210"/>
    <x v="1"/>
    <x v="0"/>
    <n v="77.3"/>
    <n v="77.3"/>
    <x v="8"/>
    <d v="2025-01-09T00:00:00"/>
    <x v="2"/>
    <x v="0"/>
    <x v="2"/>
    <x v="0"/>
    <x v="6"/>
    <x v="7"/>
    <x v="1"/>
    <x v="2"/>
  </r>
  <r>
    <x v="211"/>
    <x v="1"/>
    <x v="9"/>
    <n v="109.1"/>
    <n v="545.5"/>
    <x v="8"/>
    <d v="2025-01-12T00:00:00"/>
    <x v="2"/>
    <x v="0"/>
    <x v="0"/>
    <x v="0"/>
    <x v="6"/>
    <x v="2"/>
    <x v="1"/>
    <x v="2"/>
  </r>
  <r>
    <x v="212"/>
    <x v="2"/>
    <x v="12"/>
    <n v="53.9"/>
    <n v="215.6"/>
    <x v="8"/>
    <d v="2025-01-10T00:00:00"/>
    <x v="1"/>
    <x v="0"/>
    <x v="1"/>
    <x v="0"/>
    <x v="8"/>
    <x v="3"/>
    <x v="1"/>
    <x v="1"/>
  </r>
  <r>
    <x v="213"/>
    <x v="9"/>
    <x v="18"/>
    <n v="21.2"/>
    <n v="551.19999999999993"/>
    <x v="8"/>
    <d v="2025-01-09T00:00:00"/>
    <x v="2"/>
    <x v="0"/>
    <x v="0"/>
    <x v="0"/>
    <x v="9"/>
    <x v="7"/>
    <x v="1"/>
    <x v="2"/>
  </r>
  <r>
    <x v="214"/>
    <x v="16"/>
    <x v="12"/>
    <n v="69"/>
    <n v="276"/>
    <x v="8"/>
    <d v="2025-01-11T00:00:00"/>
    <x v="2"/>
    <x v="1"/>
    <x v="1"/>
    <x v="0"/>
    <x v="18"/>
    <x v="1"/>
    <x v="1"/>
    <x v="2"/>
  </r>
  <r>
    <x v="215"/>
    <x v="6"/>
    <x v="2"/>
    <n v="46.2"/>
    <n v="138.60000000000002"/>
    <x v="8"/>
    <d v="2025-01-11T00:00:00"/>
    <x v="2"/>
    <x v="0"/>
    <x v="2"/>
    <x v="0"/>
    <x v="31"/>
    <x v="1"/>
    <x v="1"/>
    <x v="2"/>
  </r>
  <r>
    <x v="216"/>
    <x v="1"/>
    <x v="9"/>
    <n v="97.4"/>
    <n v="487"/>
    <x v="8"/>
    <d v="2025-01-13T00:00:00"/>
    <x v="2"/>
    <x v="4"/>
    <x v="2"/>
    <x v="0"/>
    <x v="21"/>
    <x v="5"/>
    <x v="1"/>
    <x v="2"/>
  </r>
  <r>
    <x v="217"/>
    <x v="8"/>
    <x v="9"/>
    <n v="21"/>
    <n v="105"/>
    <x v="8"/>
    <d v="2025-01-10T00:00:00"/>
    <x v="1"/>
    <x v="0"/>
    <x v="1"/>
    <x v="0"/>
    <x v="21"/>
    <x v="3"/>
    <x v="1"/>
    <x v="1"/>
  </r>
  <r>
    <x v="218"/>
    <x v="5"/>
    <x v="1"/>
    <n v="32.700000000000003"/>
    <n v="65.400000000000006"/>
    <x v="9"/>
    <d v="2025-01-13T00:00:00"/>
    <x v="2"/>
    <x v="1"/>
    <x v="0"/>
    <x v="0"/>
    <x v="2"/>
    <x v="2"/>
    <x v="1"/>
    <x v="2"/>
  </r>
  <r>
    <x v="219"/>
    <x v="6"/>
    <x v="12"/>
    <n v="48"/>
    <n v="192"/>
    <x v="9"/>
    <d v="2025-01-11T00:00:00"/>
    <x v="1"/>
    <x v="3"/>
    <x v="0"/>
    <x v="0"/>
    <x v="3"/>
    <x v="3"/>
    <x v="1"/>
    <x v="1"/>
  </r>
  <r>
    <x v="220"/>
    <x v="6"/>
    <x v="2"/>
    <n v="68.2"/>
    <n v="204.60000000000002"/>
    <x v="9"/>
    <d v="2025-01-14T00:00:00"/>
    <x v="0"/>
    <x v="0"/>
    <x v="2"/>
    <x v="0"/>
    <x v="3"/>
    <x v="5"/>
    <x v="1"/>
    <x v="0"/>
  </r>
  <r>
    <x v="221"/>
    <x v="5"/>
    <x v="0"/>
    <n v="45.4"/>
    <n v="45.4"/>
    <x v="9"/>
    <d v="2025-01-12T00:00:00"/>
    <x v="1"/>
    <x v="1"/>
    <x v="0"/>
    <x v="0"/>
    <x v="3"/>
    <x v="1"/>
    <x v="1"/>
    <x v="1"/>
  </r>
  <r>
    <x v="222"/>
    <x v="12"/>
    <x v="1"/>
    <n v="53.9"/>
    <n v="107.8"/>
    <x v="9"/>
    <d v="2025-01-11T00:00:00"/>
    <x v="2"/>
    <x v="2"/>
    <x v="0"/>
    <x v="0"/>
    <x v="3"/>
    <x v="3"/>
    <x v="1"/>
    <x v="2"/>
  </r>
  <r>
    <x v="223"/>
    <x v="2"/>
    <x v="12"/>
    <n v="62.1"/>
    <n v="248.4"/>
    <x v="9"/>
    <d v="2025-01-14T00:00:00"/>
    <x v="2"/>
    <x v="0"/>
    <x v="0"/>
    <x v="0"/>
    <x v="4"/>
    <x v="5"/>
    <x v="1"/>
    <x v="2"/>
  </r>
  <r>
    <x v="224"/>
    <x v="13"/>
    <x v="3"/>
    <n v="33.1"/>
    <n v="231.70000000000002"/>
    <x v="9"/>
    <d v="2025-01-15T00:00:00"/>
    <x v="1"/>
    <x v="1"/>
    <x v="0"/>
    <x v="0"/>
    <x v="6"/>
    <x v="0"/>
    <x v="1"/>
    <x v="1"/>
  </r>
  <r>
    <x v="225"/>
    <x v="18"/>
    <x v="9"/>
    <n v="35.200000000000003"/>
    <n v="176"/>
    <x v="9"/>
    <d v="2025-01-10T00:00:00"/>
    <x v="2"/>
    <x v="1"/>
    <x v="0"/>
    <x v="0"/>
    <x v="6"/>
    <x v="7"/>
    <x v="1"/>
    <x v="2"/>
  </r>
  <r>
    <x v="226"/>
    <x v="9"/>
    <x v="2"/>
    <n v="32.1"/>
    <n v="96.300000000000011"/>
    <x v="9"/>
    <d v="2025-01-15T00:00:00"/>
    <x v="1"/>
    <x v="3"/>
    <x v="0"/>
    <x v="0"/>
    <x v="8"/>
    <x v="0"/>
    <x v="1"/>
    <x v="1"/>
  </r>
  <r>
    <x v="227"/>
    <x v="11"/>
    <x v="0"/>
    <n v="38.1"/>
    <n v="38.1"/>
    <x v="9"/>
    <d v="2025-01-15T00:00:00"/>
    <x v="2"/>
    <x v="0"/>
    <x v="2"/>
    <x v="0"/>
    <x v="8"/>
    <x v="0"/>
    <x v="1"/>
    <x v="2"/>
  </r>
  <r>
    <x v="228"/>
    <x v="8"/>
    <x v="0"/>
    <n v="65.2"/>
    <n v="65.2"/>
    <x v="9"/>
    <d v="2025-01-15T00:00:00"/>
    <x v="2"/>
    <x v="3"/>
    <x v="1"/>
    <x v="0"/>
    <x v="8"/>
    <x v="0"/>
    <x v="1"/>
    <x v="2"/>
  </r>
  <r>
    <x v="229"/>
    <x v="10"/>
    <x v="3"/>
    <n v="55.2"/>
    <n v="386.40000000000003"/>
    <x v="9"/>
    <d v="2025-01-11T00:00:00"/>
    <x v="1"/>
    <x v="2"/>
    <x v="0"/>
    <x v="0"/>
    <x v="11"/>
    <x v="3"/>
    <x v="1"/>
    <x v="1"/>
  </r>
  <r>
    <x v="230"/>
    <x v="6"/>
    <x v="0"/>
    <n v="62"/>
    <n v="62"/>
    <x v="9"/>
    <d v="2025-01-14T00:00:00"/>
    <x v="2"/>
    <x v="0"/>
    <x v="0"/>
    <x v="0"/>
    <x v="11"/>
    <x v="5"/>
    <x v="1"/>
    <x v="2"/>
  </r>
  <r>
    <x v="231"/>
    <x v="7"/>
    <x v="2"/>
    <n v="45.9"/>
    <n v="137.69999999999999"/>
    <x v="9"/>
    <d v="2025-01-11T00:00:00"/>
    <x v="2"/>
    <x v="2"/>
    <x v="0"/>
    <x v="0"/>
    <x v="32"/>
    <x v="3"/>
    <x v="1"/>
    <x v="2"/>
  </r>
  <r>
    <x v="232"/>
    <x v="18"/>
    <x v="2"/>
    <n v="58.3"/>
    <n v="174.89999999999998"/>
    <x v="9"/>
    <d v="2025-01-10T00:00:00"/>
    <x v="1"/>
    <x v="1"/>
    <x v="1"/>
    <x v="0"/>
    <x v="18"/>
    <x v="7"/>
    <x v="1"/>
    <x v="1"/>
  </r>
  <r>
    <x v="233"/>
    <x v="8"/>
    <x v="1"/>
    <n v="22.3"/>
    <n v="44.6"/>
    <x v="9"/>
    <d v="2025-01-13T00:00:00"/>
    <x v="2"/>
    <x v="0"/>
    <x v="2"/>
    <x v="0"/>
    <x v="20"/>
    <x v="2"/>
    <x v="1"/>
    <x v="2"/>
  </r>
  <r>
    <x v="234"/>
    <x v="19"/>
    <x v="9"/>
    <n v="24"/>
    <n v="120"/>
    <x v="9"/>
    <d v="2025-01-11T00:00:00"/>
    <x v="1"/>
    <x v="4"/>
    <x v="0"/>
    <x v="0"/>
    <x v="1"/>
    <x v="3"/>
    <x v="1"/>
    <x v="1"/>
  </r>
  <r>
    <x v="235"/>
    <x v="0"/>
    <x v="7"/>
    <n v="21.3"/>
    <n v="213"/>
    <x v="9"/>
    <d v="2025-01-10T00:00:00"/>
    <x v="2"/>
    <x v="1"/>
    <x v="2"/>
    <x v="0"/>
    <x v="22"/>
    <x v="7"/>
    <x v="1"/>
    <x v="2"/>
  </r>
  <r>
    <x v="236"/>
    <x v="6"/>
    <x v="24"/>
    <n v="57.8"/>
    <n v="2369.7999999999997"/>
    <x v="9"/>
    <d v="2025-01-12T00:00:00"/>
    <x v="2"/>
    <x v="0"/>
    <x v="2"/>
    <x v="0"/>
    <x v="3"/>
    <x v="1"/>
    <x v="1"/>
    <x v="2"/>
  </r>
  <r>
    <x v="237"/>
    <x v="10"/>
    <x v="2"/>
    <n v="67.599999999999994"/>
    <n v="202.79999999999998"/>
    <x v="9"/>
    <d v="2025-01-11T00:00:00"/>
    <x v="2"/>
    <x v="0"/>
    <x v="0"/>
    <x v="0"/>
    <x v="3"/>
    <x v="3"/>
    <x v="1"/>
    <x v="2"/>
  </r>
  <r>
    <x v="238"/>
    <x v="6"/>
    <x v="13"/>
    <n v="66.7"/>
    <n v="400.20000000000005"/>
    <x v="9"/>
    <d v="2025-01-14T00:00:00"/>
    <x v="1"/>
    <x v="4"/>
    <x v="1"/>
    <x v="0"/>
    <x v="3"/>
    <x v="5"/>
    <x v="1"/>
    <x v="1"/>
  </r>
  <r>
    <x v="239"/>
    <x v="1"/>
    <x v="12"/>
    <n v="53.1"/>
    <n v="212.4"/>
    <x v="9"/>
    <d v="2025-01-12T00:00:00"/>
    <x v="2"/>
    <x v="1"/>
    <x v="0"/>
    <x v="0"/>
    <x v="3"/>
    <x v="1"/>
    <x v="1"/>
    <x v="2"/>
  </r>
  <r>
    <x v="240"/>
    <x v="12"/>
    <x v="2"/>
    <n v="57.4"/>
    <n v="172.2"/>
    <x v="9"/>
    <d v="2025-01-13T00:00:00"/>
    <x v="2"/>
    <x v="0"/>
    <x v="2"/>
    <x v="0"/>
    <x v="29"/>
    <x v="2"/>
    <x v="1"/>
    <x v="2"/>
  </r>
  <r>
    <x v="241"/>
    <x v="2"/>
    <x v="9"/>
    <n v="58.1"/>
    <n v="290.5"/>
    <x v="9"/>
    <d v="2025-01-10T00:00:00"/>
    <x v="1"/>
    <x v="2"/>
    <x v="2"/>
    <x v="0"/>
    <x v="6"/>
    <x v="7"/>
    <x v="1"/>
    <x v="1"/>
  </r>
  <r>
    <x v="242"/>
    <x v="5"/>
    <x v="2"/>
    <n v="31.8"/>
    <n v="95.4"/>
    <x v="10"/>
    <d v="2025-01-13T00:00:00"/>
    <x v="1"/>
    <x v="3"/>
    <x v="0"/>
    <x v="0"/>
    <x v="6"/>
    <x v="1"/>
    <x v="1"/>
    <x v="1"/>
  </r>
  <r>
    <x v="243"/>
    <x v="4"/>
    <x v="2"/>
    <n v="31.5"/>
    <n v="94.5"/>
    <x v="10"/>
    <d v="2025-01-14T00:00:00"/>
    <x v="1"/>
    <x v="0"/>
    <x v="1"/>
    <x v="0"/>
    <x v="8"/>
    <x v="2"/>
    <x v="1"/>
    <x v="1"/>
  </r>
  <r>
    <x v="244"/>
    <x v="6"/>
    <x v="3"/>
    <n v="55.9"/>
    <n v="391.3"/>
    <x v="10"/>
    <d v="2025-01-15T00:00:00"/>
    <x v="2"/>
    <x v="1"/>
    <x v="2"/>
    <x v="0"/>
    <x v="8"/>
    <x v="5"/>
    <x v="1"/>
    <x v="2"/>
  </r>
  <r>
    <x v="245"/>
    <x v="8"/>
    <x v="1"/>
    <n v="36.4"/>
    <n v="72.8"/>
    <x v="10"/>
    <d v="2025-01-12T00:00:00"/>
    <x v="1"/>
    <x v="1"/>
    <x v="1"/>
    <x v="0"/>
    <x v="9"/>
    <x v="3"/>
    <x v="1"/>
    <x v="1"/>
  </r>
  <r>
    <x v="246"/>
    <x v="1"/>
    <x v="9"/>
    <n v="47.3"/>
    <n v="236.5"/>
    <x v="10"/>
    <d v="2025-01-14T00:00:00"/>
    <x v="1"/>
    <x v="2"/>
    <x v="0"/>
    <x v="0"/>
    <x v="10"/>
    <x v="2"/>
    <x v="1"/>
    <x v="1"/>
  </r>
  <r>
    <x v="247"/>
    <x v="6"/>
    <x v="2"/>
    <n v="82.5"/>
    <n v="247.5"/>
    <x v="10"/>
    <d v="2025-01-12T00:00:00"/>
    <x v="1"/>
    <x v="0"/>
    <x v="0"/>
    <x v="0"/>
    <x v="11"/>
    <x v="3"/>
    <x v="1"/>
    <x v="1"/>
  </r>
  <r>
    <x v="248"/>
    <x v="0"/>
    <x v="0"/>
    <n v="14.3"/>
    <n v="14.3"/>
    <x v="10"/>
    <d v="2025-01-12T00:00:00"/>
    <x v="2"/>
    <x v="0"/>
    <x v="0"/>
    <x v="0"/>
    <x v="21"/>
    <x v="3"/>
    <x v="1"/>
    <x v="2"/>
  </r>
  <r>
    <x v="249"/>
    <x v="2"/>
    <x v="13"/>
    <n v="57.6"/>
    <n v="345.6"/>
    <x v="10"/>
    <d v="2025-01-25T00:00:00"/>
    <x v="2"/>
    <x v="0"/>
    <x v="0"/>
    <x v="0"/>
    <x v="21"/>
    <x v="12"/>
    <x v="1"/>
    <x v="2"/>
  </r>
  <r>
    <x v="250"/>
    <x v="2"/>
    <x v="2"/>
    <n v="142.4"/>
    <n v="427.20000000000005"/>
    <x v="10"/>
    <d v="2025-01-13T00:00:00"/>
    <x v="1"/>
    <x v="4"/>
    <x v="1"/>
    <x v="0"/>
    <x v="21"/>
    <x v="1"/>
    <x v="1"/>
    <x v="1"/>
  </r>
  <r>
    <x v="251"/>
    <x v="12"/>
    <x v="0"/>
    <n v="30.2"/>
    <n v="30.2"/>
    <x v="10"/>
    <d v="2025-01-15T00:00:00"/>
    <x v="1"/>
    <x v="1"/>
    <x v="2"/>
    <x v="0"/>
    <x v="2"/>
    <x v="5"/>
    <x v="1"/>
    <x v="1"/>
  </r>
  <r>
    <x v="252"/>
    <x v="18"/>
    <x v="2"/>
    <n v="65.3"/>
    <n v="195.89999999999998"/>
    <x v="10"/>
    <d v="2025-01-12T00:00:00"/>
    <x v="3"/>
    <x v="1"/>
    <x v="0"/>
    <x v="0"/>
    <x v="33"/>
    <x v="3"/>
    <x v="1"/>
    <x v="3"/>
  </r>
  <r>
    <x v="253"/>
    <x v="0"/>
    <x v="1"/>
    <n v="33.4"/>
    <n v="66.8"/>
    <x v="10"/>
    <d v="2025-01-12T00:00:00"/>
    <x v="1"/>
    <x v="1"/>
    <x v="1"/>
    <x v="0"/>
    <x v="22"/>
    <x v="3"/>
    <x v="1"/>
    <x v="1"/>
  </r>
  <r>
    <x v="254"/>
    <x v="7"/>
    <x v="1"/>
    <n v="45.1"/>
    <n v="90.2"/>
    <x v="10"/>
    <d v="2025-01-19T00:00:00"/>
    <x v="1"/>
    <x v="0"/>
    <x v="0"/>
    <x v="0"/>
    <x v="34"/>
    <x v="9"/>
    <x v="1"/>
    <x v="1"/>
  </r>
  <r>
    <x v="255"/>
    <x v="2"/>
    <x v="3"/>
    <n v="61.7"/>
    <n v="431.90000000000003"/>
    <x v="10"/>
    <d v="2025-01-13T00:00:00"/>
    <x v="2"/>
    <x v="4"/>
    <x v="0"/>
    <x v="0"/>
    <x v="3"/>
    <x v="1"/>
    <x v="1"/>
    <x v="2"/>
  </r>
  <r>
    <x v="256"/>
    <x v="9"/>
    <x v="2"/>
    <n v="45.1"/>
    <n v="135.30000000000001"/>
    <x v="11"/>
    <d v="2025-01-13T00:00:00"/>
    <x v="1"/>
    <x v="4"/>
    <x v="1"/>
    <x v="0"/>
    <x v="3"/>
    <x v="3"/>
    <x v="2"/>
    <x v="1"/>
  </r>
  <r>
    <x v="257"/>
    <x v="15"/>
    <x v="9"/>
    <n v="22.7"/>
    <n v="113.5"/>
    <x v="11"/>
    <d v="2025-01-17T00:00:00"/>
    <x v="1"/>
    <x v="0"/>
    <x v="2"/>
    <x v="0"/>
    <x v="35"/>
    <x v="0"/>
    <x v="2"/>
    <x v="1"/>
  </r>
  <r>
    <x v="258"/>
    <x v="8"/>
    <x v="0"/>
    <n v="17.600000000000001"/>
    <n v="17.600000000000001"/>
    <x v="11"/>
    <d v="2025-01-13T00:00:00"/>
    <x v="2"/>
    <x v="0"/>
    <x v="2"/>
    <x v="0"/>
    <x v="23"/>
    <x v="3"/>
    <x v="2"/>
    <x v="2"/>
  </r>
  <r>
    <x v="259"/>
    <x v="14"/>
    <x v="1"/>
    <n v="11.3"/>
    <n v="22.6"/>
    <x v="11"/>
    <d v="2025-01-15T00:00:00"/>
    <x v="2"/>
    <x v="3"/>
    <x v="2"/>
    <x v="0"/>
    <x v="23"/>
    <x v="2"/>
    <x v="2"/>
    <x v="2"/>
  </r>
  <r>
    <x v="260"/>
    <x v="6"/>
    <x v="2"/>
    <n v="53.4"/>
    <n v="160.19999999999999"/>
    <x v="11"/>
    <d v="2025-01-15T00:00:00"/>
    <x v="1"/>
    <x v="3"/>
    <x v="2"/>
    <x v="0"/>
    <x v="36"/>
    <x v="2"/>
    <x v="2"/>
    <x v="1"/>
  </r>
  <r>
    <x v="261"/>
    <x v="6"/>
    <x v="5"/>
    <n v="51.1"/>
    <n v="562.1"/>
    <x v="11"/>
    <d v="2025-01-14T00:00:00"/>
    <x v="2"/>
    <x v="2"/>
    <x v="2"/>
    <x v="0"/>
    <x v="8"/>
    <x v="1"/>
    <x v="2"/>
    <x v="2"/>
  </r>
  <r>
    <x v="262"/>
    <x v="8"/>
    <x v="1"/>
    <n v="27.5"/>
    <n v="55"/>
    <x v="11"/>
    <d v="2025-01-13T00:00:00"/>
    <x v="1"/>
    <x v="4"/>
    <x v="1"/>
    <x v="0"/>
    <x v="8"/>
    <x v="3"/>
    <x v="2"/>
    <x v="1"/>
  </r>
  <r>
    <x v="263"/>
    <x v="9"/>
    <x v="0"/>
    <n v="33.5"/>
    <n v="33.5"/>
    <x v="11"/>
    <d v="2025-01-14T00:00:00"/>
    <x v="2"/>
    <x v="0"/>
    <x v="4"/>
    <x v="0"/>
    <x v="8"/>
    <x v="1"/>
    <x v="2"/>
    <x v="2"/>
  </r>
  <r>
    <x v="264"/>
    <x v="4"/>
    <x v="0"/>
    <n v="59.5"/>
    <n v="59.5"/>
    <x v="11"/>
    <d v="2025-01-12T00:00:00"/>
    <x v="1"/>
    <x v="0"/>
    <x v="2"/>
    <x v="0"/>
    <x v="18"/>
    <x v="7"/>
    <x v="2"/>
    <x v="1"/>
  </r>
  <r>
    <x v="265"/>
    <x v="17"/>
    <x v="12"/>
    <n v="23.5"/>
    <n v="94"/>
    <x v="11"/>
    <d v="2025-01-13T00:00:00"/>
    <x v="2"/>
    <x v="3"/>
    <x v="3"/>
    <x v="0"/>
    <x v="19"/>
    <x v="3"/>
    <x v="2"/>
    <x v="2"/>
  </r>
  <r>
    <x v="266"/>
    <x v="6"/>
    <x v="0"/>
    <n v="49.7"/>
    <n v="49.7"/>
    <x v="11"/>
    <d v="2025-01-13T00:00:00"/>
    <x v="0"/>
    <x v="1"/>
    <x v="2"/>
    <x v="0"/>
    <x v="20"/>
    <x v="3"/>
    <x v="2"/>
    <x v="0"/>
  </r>
  <r>
    <x v="267"/>
    <x v="6"/>
    <x v="12"/>
    <n v="44.2"/>
    <n v="176.8"/>
    <x v="11"/>
    <d v="2025-01-15T00:00:00"/>
    <x v="2"/>
    <x v="0"/>
    <x v="2"/>
    <x v="0"/>
    <x v="21"/>
    <x v="2"/>
    <x v="2"/>
    <x v="2"/>
  </r>
  <r>
    <x v="268"/>
    <x v="8"/>
    <x v="0"/>
    <n v="22.1"/>
    <n v="22.1"/>
    <x v="11"/>
    <d v="2025-01-16T00:00:00"/>
    <x v="2"/>
    <x v="1"/>
    <x v="1"/>
    <x v="0"/>
    <x v="33"/>
    <x v="5"/>
    <x v="2"/>
    <x v="2"/>
  </r>
  <r>
    <x v="269"/>
    <x v="6"/>
    <x v="2"/>
    <n v="90.9"/>
    <n v="272.70000000000005"/>
    <x v="11"/>
    <d v="2025-01-13T00:00:00"/>
    <x v="2"/>
    <x v="2"/>
    <x v="4"/>
    <x v="0"/>
    <x v="3"/>
    <x v="3"/>
    <x v="2"/>
    <x v="2"/>
  </r>
  <r>
    <x v="270"/>
    <x v="8"/>
    <x v="2"/>
    <n v="44.5"/>
    <n v="133.5"/>
    <x v="11"/>
    <d v="2025-01-13T00:00:00"/>
    <x v="2"/>
    <x v="1"/>
    <x v="0"/>
    <x v="0"/>
    <x v="3"/>
    <x v="3"/>
    <x v="2"/>
    <x v="2"/>
  </r>
  <r>
    <x v="271"/>
    <x v="9"/>
    <x v="13"/>
    <n v="32.299999999999997"/>
    <n v="193.79999999999998"/>
    <x v="11"/>
    <d v="2025-01-16T00:00:00"/>
    <x v="2"/>
    <x v="0"/>
    <x v="0"/>
    <x v="0"/>
    <x v="3"/>
    <x v="5"/>
    <x v="2"/>
    <x v="2"/>
  </r>
  <r>
    <x v="272"/>
    <x v="17"/>
    <x v="2"/>
    <n v="87.5"/>
    <n v="262.5"/>
    <x v="11"/>
    <d v="2025-01-13T00:00:00"/>
    <x v="2"/>
    <x v="1"/>
    <x v="1"/>
    <x v="0"/>
    <x v="3"/>
    <x v="3"/>
    <x v="2"/>
    <x v="2"/>
  </r>
  <r>
    <x v="273"/>
    <x v="16"/>
    <x v="9"/>
    <n v="48.7"/>
    <n v="243.5"/>
    <x v="11"/>
    <d v="2025-01-13T00:00:00"/>
    <x v="1"/>
    <x v="2"/>
    <x v="0"/>
    <x v="0"/>
    <x v="3"/>
    <x v="3"/>
    <x v="2"/>
    <x v="1"/>
  </r>
  <r>
    <x v="274"/>
    <x v="0"/>
    <x v="9"/>
    <n v="22.5"/>
    <n v="112.5"/>
    <x v="11"/>
    <d v="2025-01-13T00:00:00"/>
    <x v="1"/>
    <x v="0"/>
    <x v="0"/>
    <x v="0"/>
    <x v="3"/>
    <x v="3"/>
    <x v="2"/>
    <x v="1"/>
  </r>
  <r>
    <x v="275"/>
    <x v="1"/>
    <x v="8"/>
    <n v="65.900000000000006"/>
    <n v="527.20000000000005"/>
    <x v="11"/>
    <d v="2025-01-15T00:00:00"/>
    <x v="2"/>
    <x v="1"/>
    <x v="2"/>
    <x v="0"/>
    <x v="3"/>
    <x v="2"/>
    <x v="2"/>
    <x v="2"/>
  </r>
  <r>
    <x v="276"/>
    <x v="6"/>
    <x v="9"/>
    <n v="41.9"/>
    <n v="209.5"/>
    <x v="11"/>
    <d v="2025-01-19T00:00:00"/>
    <x v="0"/>
    <x v="0"/>
    <x v="0"/>
    <x v="0"/>
    <x v="3"/>
    <x v="6"/>
    <x v="2"/>
    <x v="0"/>
  </r>
  <r>
    <x v="277"/>
    <x v="1"/>
    <x v="9"/>
    <n v="67.5"/>
    <n v="337.5"/>
    <x v="11"/>
    <d v="2025-01-13T00:00:00"/>
    <x v="2"/>
    <x v="0"/>
    <x v="2"/>
    <x v="0"/>
    <x v="3"/>
    <x v="3"/>
    <x v="2"/>
    <x v="2"/>
  </r>
  <r>
    <x v="278"/>
    <x v="9"/>
    <x v="0"/>
    <n v="60.4"/>
    <n v="60.4"/>
    <x v="12"/>
    <d v="2025-01-15T00:00:00"/>
    <x v="2"/>
    <x v="1"/>
    <x v="1"/>
    <x v="0"/>
    <x v="3"/>
    <x v="1"/>
    <x v="2"/>
    <x v="2"/>
  </r>
  <r>
    <x v="279"/>
    <x v="1"/>
    <x v="3"/>
    <n v="30.4"/>
    <n v="212.79999999999998"/>
    <x v="12"/>
    <d v="2025-01-16T00:00:00"/>
    <x v="2"/>
    <x v="4"/>
    <x v="0"/>
    <x v="0"/>
    <x v="3"/>
    <x v="2"/>
    <x v="2"/>
    <x v="2"/>
  </r>
  <r>
    <x v="280"/>
    <x v="14"/>
    <x v="1"/>
    <n v="24.5"/>
    <n v="49"/>
    <x v="12"/>
    <d v="2025-01-14T00:00:00"/>
    <x v="1"/>
    <x v="3"/>
    <x v="2"/>
    <x v="0"/>
    <x v="3"/>
    <x v="3"/>
    <x v="2"/>
    <x v="1"/>
  </r>
  <r>
    <x v="281"/>
    <x v="2"/>
    <x v="2"/>
    <n v="105.9"/>
    <n v="317.70000000000005"/>
    <x v="12"/>
    <d v="2025-01-18T00:00:00"/>
    <x v="1"/>
    <x v="0"/>
    <x v="0"/>
    <x v="0"/>
    <x v="37"/>
    <x v="0"/>
    <x v="2"/>
    <x v="1"/>
  </r>
  <r>
    <x v="282"/>
    <x v="10"/>
    <x v="25"/>
    <n v="25.9"/>
    <n v="621.59999999999991"/>
    <x v="12"/>
    <d v="2025-01-14T00:00:00"/>
    <x v="2"/>
    <x v="4"/>
    <x v="0"/>
    <x v="0"/>
    <x v="23"/>
    <x v="3"/>
    <x v="2"/>
    <x v="2"/>
  </r>
  <r>
    <x v="283"/>
    <x v="6"/>
    <x v="2"/>
    <n v="66.8"/>
    <n v="200.39999999999998"/>
    <x v="12"/>
    <d v="2025-01-13T00:00:00"/>
    <x v="1"/>
    <x v="0"/>
    <x v="0"/>
    <x v="0"/>
    <x v="23"/>
    <x v="7"/>
    <x v="2"/>
    <x v="1"/>
  </r>
  <r>
    <x v="284"/>
    <x v="6"/>
    <x v="2"/>
    <n v="112.3"/>
    <n v="336.9"/>
    <x v="12"/>
    <d v="2025-01-14T00:00:00"/>
    <x v="1"/>
    <x v="2"/>
    <x v="4"/>
    <x v="0"/>
    <x v="6"/>
    <x v="3"/>
    <x v="2"/>
    <x v="1"/>
  </r>
  <r>
    <x v="285"/>
    <x v="1"/>
    <x v="13"/>
    <n v="94.1"/>
    <n v="564.59999999999991"/>
    <x v="12"/>
    <d v="2025-01-14T00:00:00"/>
    <x v="2"/>
    <x v="0"/>
    <x v="4"/>
    <x v="0"/>
    <x v="6"/>
    <x v="3"/>
    <x v="2"/>
    <x v="2"/>
  </r>
  <r>
    <x v="286"/>
    <x v="5"/>
    <x v="0"/>
    <n v="40.700000000000003"/>
    <n v="40.700000000000003"/>
    <x v="12"/>
    <d v="2025-01-16T00:00:00"/>
    <x v="2"/>
    <x v="2"/>
    <x v="0"/>
    <x v="0"/>
    <x v="6"/>
    <x v="2"/>
    <x v="2"/>
    <x v="2"/>
  </r>
  <r>
    <x v="287"/>
    <x v="3"/>
    <x v="1"/>
    <n v="71.400000000000006"/>
    <n v="142.80000000000001"/>
    <x v="12"/>
    <d v="2025-01-14T00:00:00"/>
    <x v="1"/>
    <x v="0"/>
    <x v="0"/>
    <x v="0"/>
    <x v="7"/>
    <x v="3"/>
    <x v="2"/>
    <x v="1"/>
  </r>
  <r>
    <x v="288"/>
    <x v="0"/>
    <x v="16"/>
    <n v="15.6"/>
    <n v="280.8"/>
    <x v="12"/>
    <d v="2025-01-14T00:00:00"/>
    <x v="1"/>
    <x v="1"/>
    <x v="3"/>
    <x v="0"/>
    <x v="8"/>
    <x v="3"/>
    <x v="2"/>
    <x v="1"/>
  </r>
  <r>
    <x v="289"/>
    <x v="10"/>
    <x v="12"/>
    <n v="37.799999999999997"/>
    <n v="151.19999999999999"/>
    <x v="12"/>
    <d v="2025-01-14T00:00:00"/>
    <x v="1"/>
    <x v="2"/>
    <x v="2"/>
    <x v="0"/>
    <x v="8"/>
    <x v="3"/>
    <x v="2"/>
    <x v="1"/>
  </r>
  <r>
    <x v="290"/>
    <x v="4"/>
    <x v="2"/>
    <n v="28.1"/>
    <n v="84.300000000000011"/>
    <x v="12"/>
    <d v="2025-01-17T00:00:00"/>
    <x v="1"/>
    <x v="0"/>
    <x v="0"/>
    <x v="0"/>
    <x v="8"/>
    <x v="5"/>
    <x v="2"/>
    <x v="1"/>
  </r>
  <r>
    <x v="291"/>
    <x v="7"/>
    <x v="13"/>
    <n v="51.4"/>
    <n v="308.39999999999998"/>
    <x v="12"/>
    <d v="2025-01-17T00:00:00"/>
    <x v="1"/>
    <x v="0"/>
    <x v="0"/>
    <x v="0"/>
    <x v="8"/>
    <x v="5"/>
    <x v="2"/>
    <x v="1"/>
  </r>
  <r>
    <x v="292"/>
    <x v="7"/>
    <x v="1"/>
    <n v="97.7"/>
    <n v="195.4"/>
    <x v="12"/>
    <d v="2025-01-15T00:00:00"/>
    <x v="2"/>
    <x v="4"/>
    <x v="2"/>
    <x v="0"/>
    <x v="17"/>
    <x v="1"/>
    <x v="2"/>
    <x v="2"/>
  </r>
  <r>
    <x v="293"/>
    <x v="1"/>
    <x v="12"/>
    <n v="63.8"/>
    <n v="255.2"/>
    <x v="12"/>
    <d v="2025-01-14T00:00:00"/>
    <x v="1"/>
    <x v="2"/>
    <x v="0"/>
    <x v="0"/>
    <x v="38"/>
    <x v="3"/>
    <x v="2"/>
    <x v="1"/>
  </r>
  <r>
    <x v="294"/>
    <x v="13"/>
    <x v="1"/>
    <n v="20.100000000000001"/>
    <n v="40.200000000000003"/>
    <x v="12"/>
    <d v="2025-01-15T00:00:00"/>
    <x v="1"/>
    <x v="0"/>
    <x v="2"/>
    <x v="0"/>
    <x v="20"/>
    <x v="1"/>
    <x v="2"/>
    <x v="1"/>
  </r>
  <r>
    <x v="295"/>
    <x v="11"/>
    <x v="2"/>
    <n v="50.4"/>
    <n v="151.19999999999999"/>
    <x v="12"/>
    <d v="2025-01-16T00:00:00"/>
    <x v="2"/>
    <x v="3"/>
    <x v="0"/>
    <x v="0"/>
    <x v="13"/>
    <x v="2"/>
    <x v="2"/>
    <x v="2"/>
  </r>
  <r>
    <x v="296"/>
    <x v="0"/>
    <x v="0"/>
    <n v="16.2"/>
    <n v="16.2"/>
    <x v="12"/>
    <d v="2025-01-26T00:00:00"/>
    <x v="2"/>
    <x v="1"/>
    <x v="0"/>
    <x v="0"/>
    <x v="1"/>
    <x v="10"/>
    <x v="2"/>
    <x v="2"/>
  </r>
  <r>
    <x v="297"/>
    <x v="6"/>
    <x v="3"/>
    <n v="80.900000000000006"/>
    <n v="566.30000000000007"/>
    <x v="12"/>
    <d v="2025-01-15T00:00:00"/>
    <x v="1"/>
    <x v="4"/>
    <x v="4"/>
    <x v="0"/>
    <x v="2"/>
    <x v="1"/>
    <x v="2"/>
    <x v="1"/>
  </r>
  <r>
    <x v="298"/>
    <x v="9"/>
    <x v="13"/>
    <n v="95.2"/>
    <n v="571.20000000000005"/>
    <x v="12"/>
    <d v="2025-01-15T00:00:00"/>
    <x v="2"/>
    <x v="0"/>
    <x v="2"/>
    <x v="0"/>
    <x v="2"/>
    <x v="1"/>
    <x v="2"/>
    <x v="2"/>
  </r>
  <r>
    <x v="299"/>
    <x v="5"/>
    <x v="8"/>
    <n v="70.400000000000006"/>
    <n v="563.20000000000005"/>
    <x v="12"/>
    <d v="2025-01-14T00:00:00"/>
    <x v="1"/>
    <x v="1"/>
    <x v="1"/>
    <x v="0"/>
    <x v="3"/>
    <x v="3"/>
    <x v="2"/>
    <x v="1"/>
  </r>
  <r>
    <x v="300"/>
    <x v="0"/>
    <x v="9"/>
    <n v="10.7"/>
    <n v="53.5"/>
    <x v="12"/>
    <d v="2025-01-17T00:00:00"/>
    <x v="2"/>
    <x v="2"/>
    <x v="0"/>
    <x v="0"/>
    <x v="3"/>
    <x v="5"/>
    <x v="2"/>
    <x v="2"/>
  </r>
  <r>
    <x v="301"/>
    <x v="8"/>
    <x v="9"/>
    <n v="19.600000000000001"/>
    <n v="98"/>
    <x v="12"/>
    <d v="2025-01-15T00:00:00"/>
    <x v="2"/>
    <x v="0"/>
    <x v="3"/>
    <x v="0"/>
    <x v="3"/>
    <x v="1"/>
    <x v="2"/>
    <x v="2"/>
  </r>
  <r>
    <x v="302"/>
    <x v="8"/>
    <x v="5"/>
    <n v="34.700000000000003"/>
    <n v="381.70000000000005"/>
    <x v="12"/>
    <d v="2025-01-15T00:00:00"/>
    <x v="2"/>
    <x v="0"/>
    <x v="2"/>
    <x v="0"/>
    <x v="3"/>
    <x v="1"/>
    <x v="2"/>
    <x v="2"/>
  </r>
  <r>
    <x v="303"/>
    <x v="10"/>
    <x v="11"/>
    <n v="34.1"/>
    <n v="306.90000000000003"/>
    <x v="12"/>
    <d v="2025-01-14T00:00:00"/>
    <x v="2"/>
    <x v="4"/>
    <x v="1"/>
    <x v="0"/>
    <x v="3"/>
    <x v="3"/>
    <x v="2"/>
    <x v="2"/>
  </r>
  <r>
    <x v="304"/>
    <x v="0"/>
    <x v="26"/>
    <n v="29.3"/>
    <n v="1435.7"/>
    <x v="12"/>
    <d v="2025-01-13T00:00:00"/>
    <x v="1"/>
    <x v="0"/>
    <x v="1"/>
    <x v="0"/>
    <x v="3"/>
    <x v="7"/>
    <x v="2"/>
    <x v="1"/>
  </r>
  <r>
    <x v="305"/>
    <x v="1"/>
    <x v="0"/>
    <n v="55.2"/>
    <n v="55.2"/>
    <x v="12"/>
    <d v="2025-01-14T00:00:00"/>
    <x v="2"/>
    <x v="0"/>
    <x v="1"/>
    <x v="0"/>
    <x v="3"/>
    <x v="3"/>
    <x v="2"/>
    <x v="2"/>
  </r>
  <r>
    <x v="306"/>
    <x v="18"/>
    <x v="2"/>
    <n v="26"/>
    <n v="78"/>
    <x v="12"/>
    <d v="2025-01-16T00:00:00"/>
    <x v="2"/>
    <x v="0"/>
    <x v="2"/>
    <x v="0"/>
    <x v="3"/>
    <x v="2"/>
    <x v="2"/>
    <x v="2"/>
  </r>
  <r>
    <x v="307"/>
    <x v="14"/>
    <x v="1"/>
    <n v="14.2"/>
    <n v="28.4"/>
    <x v="12"/>
    <d v="2025-01-18T00:00:00"/>
    <x v="2"/>
    <x v="3"/>
    <x v="0"/>
    <x v="0"/>
    <x v="39"/>
    <x v="0"/>
    <x v="2"/>
    <x v="2"/>
  </r>
  <r>
    <x v="308"/>
    <x v="8"/>
    <x v="11"/>
    <n v="22.7"/>
    <n v="204.29999999999998"/>
    <x v="13"/>
    <d v="2025-01-15T00:00:00"/>
    <x v="1"/>
    <x v="1"/>
    <x v="0"/>
    <x v="0"/>
    <x v="6"/>
    <x v="3"/>
    <x v="2"/>
    <x v="1"/>
  </r>
  <r>
    <x v="309"/>
    <x v="0"/>
    <x v="20"/>
    <n v="19.8"/>
    <n v="297"/>
    <x v="13"/>
    <d v="2025-01-14T00:00:00"/>
    <x v="2"/>
    <x v="0"/>
    <x v="2"/>
    <x v="0"/>
    <x v="6"/>
    <x v="7"/>
    <x v="2"/>
    <x v="2"/>
  </r>
  <r>
    <x v="310"/>
    <x v="0"/>
    <x v="2"/>
    <n v="31.7"/>
    <n v="95.1"/>
    <x v="13"/>
    <d v="2025-01-15T00:00:00"/>
    <x v="1"/>
    <x v="2"/>
    <x v="0"/>
    <x v="0"/>
    <x v="6"/>
    <x v="3"/>
    <x v="2"/>
    <x v="1"/>
  </r>
  <r>
    <x v="311"/>
    <x v="8"/>
    <x v="12"/>
    <n v="30.4"/>
    <n v="121.6"/>
    <x v="13"/>
    <d v="2025-01-18T00:00:00"/>
    <x v="1"/>
    <x v="0"/>
    <x v="0"/>
    <x v="0"/>
    <x v="6"/>
    <x v="5"/>
    <x v="2"/>
    <x v="1"/>
  </r>
  <r>
    <x v="312"/>
    <x v="0"/>
    <x v="12"/>
    <n v="25.6"/>
    <n v="102.4"/>
    <x v="13"/>
    <d v="2025-01-15T00:00:00"/>
    <x v="1"/>
    <x v="3"/>
    <x v="0"/>
    <x v="0"/>
    <x v="8"/>
    <x v="3"/>
    <x v="2"/>
    <x v="1"/>
  </r>
  <r>
    <x v="313"/>
    <x v="5"/>
    <x v="1"/>
    <n v="34.9"/>
    <n v="69.8"/>
    <x v="13"/>
    <d v="2025-01-15T00:00:00"/>
    <x v="2"/>
    <x v="2"/>
    <x v="0"/>
    <x v="0"/>
    <x v="9"/>
    <x v="3"/>
    <x v="2"/>
    <x v="2"/>
  </r>
  <r>
    <x v="314"/>
    <x v="7"/>
    <x v="13"/>
    <n v="42.7"/>
    <n v="256.20000000000005"/>
    <x v="13"/>
    <d v="2025-01-17T00:00:00"/>
    <x v="1"/>
    <x v="2"/>
    <x v="1"/>
    <x v="0"/>
    <x v="11"/>
    <x v="2"/>
    <x v="2"/>
    <x v="1"/>
  </r>
  <r>
    <x v="315"/>
    <x v="8"/>
    <x v="0"/>
    <n v="23.9"/>
    <n v="23.9"/>
    <x v="13"/>
    <d v="2025-01-16T00:00:00"/>
    <x v="2"/>
    <x v="3"/>
    <x v="0"/>
    <x v="0"/>
    <x v="11"/>
    <x v="1"/>
    <x v="2"/>
    <x v="2"/>
  </r>
  <r>
    <x v="316"/>
    <x v="6"/>
    <x v="0"/>
    <n v="124.3"/>
    <n v="124.3"/>
    <x v="13"/>
    <d v="2025-01-15T00:00:00"/>
    <x v="0"/>
    <x v="2"/>
    <x v="1"/>
    <x v="0"/>
    <x v="21"/>
    <x v="3"/>
    <x v="2"/>
    <x v="0"/>
  </r>
  <r>
    <x v="317"/>
    <x v="8"/>
    <x v="13"/>
    <n v="35.9"/>
    <n v="215.39999999999998"/>
    <x v="13"/>
    <d v="2025-01-15T00:00:00"/>
    <x v="2"/>
    <x v="0"/>
    <x v="1"/>
    <x v="0"/>
    <x v="1"/>
    <x v="3"/>
    <x v="2"/>
    <x v="2"/>
  </r>
  <r>
    <x v="318"/>
    <x v="2"/>
    <x v="1"/>
    <n v="69.099999999999994"/>
    <n v="138.19999999999999"/>
    <x v="13"/>
    <d v="2025-01-17T00:00:00"/>
    <x v="2"/>
    <x v="0"/>
    <x v="2"/>
    <x v="0"/>
    <x v="22"/>
    <x v="2"/>
    <x v="2"/>
    <x v="2"/>
  </r>
  <r>
    <x v="319"/>
    <x v="7"/>
    <x v="0"/>
    <n v="58.4"/>
    <n v="58.4"/>
    <x v="13"/>
    <d v="2025-01-18T00:00:00"/>
    <x v="1"/>
    <x v="0"/>
    <x v="0"/>
    <x v="0"/>
    <x v="22"/>
    <x v="5"/>
    <x v="2"/>
    <x v="1"/>
  </r>
  <r>
    <x v="320"/>
    <x v="5"/>
    <x v="0"/>
    <n v="65.2"/>
    <n v="65.2"/>
    <x v="13"/>
    <d v="2025-01-16T00:00:00"/>
    <x v="3"/>
    <x v="4"/>
    <x v="4"/>
    <x v="0"/>
    <x v="3"/>
    <x v="1"/>
    <x v="2"/>
    <x v="3"/>
  </r>
  <r>
    <x v="321"/>
    <x v="8"/>
    <x v="14"/>
    <n v="32.700000000000003"/>
    <n v="555.90000000000009"/>
    <x v="13"/>
    <d v="2025-01-21T00:00:00"/>
    <x v="0"/>
    <x v="4"/>
    <x v="0"/>
    <x v="0"/>
    <x v="3"/>
    <x v="6"/>
    <x v="2"/>
    <x v="0"/>
  </r>
  <r>
    <x v="322"/>
    <x v="10"/>
    <x v="3"/>
    <n v="24.4"/>
    <n v="170.79999999999998"/>
    <x v="13"/>
    <d v="2025-01-15T00:00:00"/>
    <x v="2"/>
    <x v="0"/>
    <x v="0"/>
    <x v="0"/>
    <x v="3"/>
    <x v="3"/>
    <x v="2"/>
    <x v="2"/>
  </r>
  <r>
    <x v="323"/>
    <x v="14"/>
    <x v="1"/>
    <n v="50.4"/>
    <n v="100.8"/>
    <x v="13"/>
    <d v="2025-01-20T00:00:00"/>
    <x v="1"/>
    <x v="0"/>
    <x v="1"/>
    <x v="0"/>
    <x v="3"/>
    <x v="4"/>
    <x v="2"/>
    <x v="1"/>
  </r>
  <r>
    <x v="324"/>
    <x v="1"/>
    <x v="1"/>
    <n v="100"/>
    <n v="200"/>
    <x v="13"/>
    <d v="2025-01-15T00:00:00"/>
    <x v="2"/>
    <x v="0"/>
    <x v="0"/>
    <x v="0"/>
    <x v="3"/>
    <x v="3"/>
    <x v="2"/>
    <x v="2"/>
  </r>
  <r>
    <x v="325"/>
    <x v="10"/>
    <x v="2"/>
    <n v="43"/>
    <n v="129"/>
    <x v="14"/>
    <d v="2025-01-15T00:00:00"/>
    <x v="2"/>
    <x v="2"/>
    <x v="1"/>
    <x v="0"/>
    <x v="3"/>
    <x v="7"/>
    <x v="2"/>
    <x v="2"/>
  </r>
  <r>
    <x v="326"/>
    <x v="1"/>
    <x v="9"/>
    <n v="64.400000000000006"/>
    <n v="322"/>
    <x v="14"/>
    <d v="2025-01-17T00:00:00"/>
    <x v="1"/>
    <x v="2"/>
    <x v="1"/>
    <x v="0"/>
    <x v="3"/>
    <x v="1"/>
    <x v="2"/>
    <x v="1"/>
  </r>
  <r>
    <x v="327"/>
    <x v="18"/>
    <x v="1"/>
    <n v="57.4"/>
    <n v="114.8"/>
    <x v="14"/>
    <d v="2025-01-16T00:00:00"/>
    <x v="1"/>
    <x v="2"/>
    <x v="1"/>
    <x v="0"/>
    <x v="3"/>
    <x v="3"/>
    <x v="2"/>
    <x v="1"/>
  </r>
  <r>
    <x v="328"/>
    <x v="2"/>
    <x v="2"/>
    <n v="55.1"/>
    <n v="165.3"/>
    <x v="14"/>
    <d v="2025-01-18T00:00:00"/>
    <x v="2"/>
    <x v="1"/>
    <x v="0"/>
    <x v="0"/>
    <x v="3"/>
    <x v="2"/>
    <x v="2"/>
    <x v="2"/>
  </r>
  <r>
    <x v="329"/>
    <x v="7"/>
    <x v="12"/>
    <n v="45.4"/>
    <n v="181.6"/>
    <x v="14"/>
    <d v="2025-01-16T00:00:00"/>
    <x v="2"/>
    <x v="1"/>
    <x v="0"/>
    <x v="0"/>
    <x v="3"/>
    <x v="3"/>
    <x v="2"/>
    <x v="2"/>
  </r>
  <r>
    <x v="330"/>
    <x v="3"/>
    <x v="2"/>
    <n v="93.3"/>
    <n v="279.89999999999998"/>
    <x v="14"/>
    <d v="2025-01-16T00:00:00"/>
    <x v="2"/>
    <x v="0"/>
    <x v="0"/>
    <x v="0"/>
    <x v="40"/>
    <x v="3"/>
    <x v="2"/>
    <x v="2"/>
  </r>
  <r>
    <x v="331"/>
    <x v="2"/>
    <x v="10"/>
    <n v="158.19999999999999"/>
    <n v="3005.7999999999997"/>
    <x v="14"/>
    <d v="2025-01-16T00:00:00"/>
    <x v="2"/>
    <x v="1"/>
    <x v="2"/>
    <x v="0"/>
    <x v="16"/>
    <x v="3"/>
    <x v="2"/>
    <x v="2"/>
  </r>
  <r>
    <x v="332"/>
    <x v="2"/>
    <x v="1"/>
    <n v="74.900000000000006"/>
    <n v="149.80000000000001"/>
    <x v="14"/>
    <d v="2025-01-17T00:00:00"/>
    <x v="1"/>
    <x v="3"/>
    <x v="0"/>
    <x v="0"/>
    <x v="6"/>
    <x v="1"/>
    <x v="2"/>
    <x v="1"/>
  </r>
  <r>
    <x v="333"/>
    <x v="8"/>
    <x v="3"/>
    <n v="26"/>
    <n v="182"/>
    <x v="14"/>
    <d v="2025-01-18T00:00:00"/>
    <x v="2"/>
    <x v="1"/>
    <x v="0"/>
    <x v="0"/>
    <x v="8"/>
    <x v="2"/>
    <x v="2"/>
    <x v="2"/>
  </r>
  <r>
    <x v="334"/>
    <x v="9"/>
    <x v="13"/>
    <n v="37.5"/>
    <n v="225"/>
    <x v="14"/>
    <d v="2025-01-16T00:00:00"/>
    <x v="2"/>
    <x v="0"/>
    <x v="1"/>
    <x v="0"/>
    <x v="8"/>
    <x v="3"/>
    <x v="2"/>
    <x v="2"/>
  </r>
  <r>
    <x v="335"/>
    <x v="6"/>
    <x v="1"/>
    <n v="75.8"/>
    <n v="151.6"/>
    <x v="14"/>
    <d v="2025-01-21T00:00:00"/>
    <x v="1"/>
    <x v="0"/>
    <x v="0"/>
    <x v="0"/>
    <x v="8"/>
    <x v="4"/>
    <x v="2"/>
    <x v="1"/>
  </r>
  <r>
    <x v="336"/>
    <x v="7"/>
    <x v="0"/>
    <n v="48.5"/>
    <n v="48.5"/>
    <x v="14"/>
    <d v="2025-01-27T00:00:00"/>
    <x v="0"/>
    <x v="4"/>
    <x v="2"/>
    <x v="0"/>
    <x v="8"/>
    <x v="13"/>
    <x v="2"/>
    <x v="0"/>
  </r>
  <r>
    <x v="337"/>
    <x v="6"/>
    <x v="2"/>
    <n v="98.9"/>
    <n v="296.70000000000005"/>
    <x v="14"/>
    <d v="2025-01-17T00:00:00"/>
    <x v="2"/>
    <x v="4"/>
    <x v="1"/>
    <x v="0"/>
    <x v="8"/>
    <x v="1"/>
    <x v="2"/>
    <x v="2"/>
  </r>
  <r>
    <x v="338"/>
    <x v="1"/>
    <x v="4"/>
    <n v="50.9"/>
    <n v="610.79999999999995"/>
    <x v="14"/>
    <d v="2025-01-15T00:00:00"/>
    <x v="1"/>
    <x v="4"/>
    <x v="0"/>
    <x v="0"/>
    <x v="8"/>
    <x v="7"/>
    <x v="2"/>
    <x v="1"/>
  </r>
  <r>
    <x v="339"/>
    <x v="12"/>
    <x v="13"/>
    <n v="84.7"/>
    <n v="508.20000000000005"/>
    <x v="14"/>
    <d v="2025-01-15T00:00:00"/>
    <x v="2"/>
    <x v="2"/>
    <x v="0"/>
    <x v="0"/>
    <x v="8"/>
    <x v="7"/>
    <x v="2"/>
    <x v="2"/>
  </r>
  <r>
    <x v="340"/>
    <x v="8"/>
    <x v="0"/>
    <n v="20.7"/>
    <n v="20.7"/>
    <x v="14"/>
    <d v="2025-01-17T00:00:00"/>
    <x v="2"/>
    <x v="3"/>
    <x v="2"/>
    <x v="0"/>
    <x v="8"/>
    <x v="1"/>
    <x v="2"/>
    <x v="2"/>
  </r>
  <r>
    <x v="341"/>
    <x v="12"/>
    <x v="11"/>
    <n v="57.8"/>
    <n v="520.19999999999993"/>
    <x v="14"/>
    <d v="2025-01-26T00:00:00"/>
    <x v="1"/>
    <x v="0"/>
    <x v="4"/>
    <x v="0"/>
    <x v="17"/>
    <x v="11"/>
    <x v="2"/>
    <x v="1"/>
  </r>
  <r>
    <x v="342"/>
    <x v="2"/>
    <x v="1"/>
    <n v="106.9"/>
    <n v="213.8"/>
    <x v="14"/>
    <d v="2025-01-17T00:00:00"/>
    <x v="2"/>
    <x v="0"/>
    <x v="2"/>
    <x v="0"/>
    <x v="41"/>
    <x v="1"/>
    <x v="2"/>
    <x v="2"/>
  </r>
  <r>
    <x v="343"/>
    <x v="3"/>
    <x v="9"/>
    <n v="45.2"/>
    <n v="226"/>
    <x v="14"/>
    <d v="2025-01-19T00:00:00"/>
    <x v="2"/>
    <x v="1"/>
    <x v="0"/>
    <x v="0"/>
    <x v="21"/>
    <x v="5"/>
    <x v="2"/>
    <x v="2"/>
  </r>
  <r>
    <x v="344"/>
    <x v="8"/>
    <x v="15"/>
    <n v="34.6"/>
    <n v="449.8"/>
    <x v="14"/>
    <d v="2025-01-15T00:00:00"/>
    <x v="2"/>
    <x v="1"/>
    <x v="1"/>
    <x v="0"/>
    <x v="21"/>
    <x v="7"/>
    <x v="2"/>
    <x v="2"/>
  </r>
  <r>
    <x v="345"/>
    <x v="15"/>
    <x v="0"/>
    <n v="43.8"/>
    <n v="43.8"/>
    <x v="14"/>
    <d v="2025-01-17T00:00:00"/>
    <x v="0"/>
    <x v="0"/>
    <x v="2"/>
    <x v="0"/>
    <x v="21"/>
    <x v="1"/>
    <x v="2"/>
    <x v="0"/>
  </r>
  <r>
    <x v="346"/>
    <x v="15"/>
    <x v="0"/>
    <n v="20.399999999999999"/>
    <n v="20.399999999999999"/>
    <x v="14"/>
    <d v="2025-01-17T00:00:00"/>
    <x v="1"/>
    <x v="4"/>
    <x v="1"/>
    <x v="0"/>
    <x v="21"/>
    <x v="1"/>
    <x v="2"/>
    <x v="1"/>
  </r>
  <r>
    <x v="347"/>
    <x v="1"/>
    <x v="0"/>
    <n v="36.700000000000003"/>
    <n v="36.700000000000003"/>
    <x v="14"/>
    <d v="2025-01-16T00:00:00"/>
    <x v="1"/>
    <x v="0"/>
    <x v="1"/>
    <x v="0"/>
    <x v="1"/>
    <x v="3"/>
    <x v="2"/>
    <x v="1"/>
  </r>
  <r>
    <x v="348"/>
    <x v="8"/>
    <x v="2"/>
    <n v="27.2"/>
    <n v="81.599999999999994"/>
    <x v="14"/>
    <d v="2025-01-19T00:00:00"/>
    <x v="1"/>
    <x v="0"/>
    <x v="2"/>
    <x v="0"/>
    <x v="1"/>
    <x v="5"/>
    <x v="2"/>
    <x v="1"/>
  </r>
  <r>
    <x v="349"/>
    <x v="6"/>
    <x v="0"/>
    <n v="58.2"/>
    <n v="58.2"/>
    <x v="14"/>
    <d v="2025-01-16T00:00:00"/>
    <x v="2"/>
    <x v="0"/>
    <x v="2"/>
    <x v="0"/>
    <x v="42"/>
    <x v="3"/>
    <x v="2"/>
    <x v="2"/>
  </r>
  <r>
    <x v="350"/>
    <x v="8"/>
    <x v="2"/>
    <n v="25.6"/>
    <n v="76.800000000000011"/>
    <x v="14"/>
    <d v="2025-01-16T00:00:00"/>
    <x v="1"/>
    <x v="4"/>
    <x v="4"/>
    <x v="0"/>
    <x v="2"/>
    <x v="3"/>
    <x v="2"/>
    <x v="1"/>
  </r>
  <r>
    <x v="351"/>
    <x v="10"/>
    <x v="0"/>
    <n v="21.2"/>
    <n v="21.2"/>
    <x v="14"/>
    <d v="2025-01-15T00:00:00"/>
    <x v="2"/>
    <x v="1"/>
    <x v="2"/>
    <x v="0"/>
    <x v="3"/>
    <x v="7"/>
    <x v="2"/>
    <x v="2"/>
  </r>
  <r>
    <x v="352"/>
    <x v="6"/>
    <x v="1"/>
    <n v="48.2"/>
    <n v="96.4"/>
    <x v="14"/>
    <d v="2025-01-23T00:00:00"/>
    <x v="2"/>
    <x v="0"/>
    <x v="2"/>
    <x v="0"/>
    <x v="3"/>
    <x v="9"/>
    <x v="2"/>
    <x v="2"/>
  </r>
  <r>
    <x v="353"/>
    <x v="1"/>
    <x v="12"/>
    <n v="83.4"/>
    <n v="333.6"/>
    <x v="15"/>
    <d v="2025-01-17T00:00:00"/>
    <x v="1"/>
    <x v="0"/>
    <x v="0"/>
    <x v="0"/>
    <x v="3"/>
    <x v="3"/>
    <x v="2"/>
    <x v="1"/>
  </r>
  <r>
    <x v="354"/>
    <x v="9"/>
    <x v="2"/>
    <n v="45.3"/>
    <n v="135.89999999999998"/>
    <x v="15"/>
    <d v="2025-01-22T00:00:00"/>
    <x v="1"/>
    <x v="2"/>
    <x v="1"/>
    <x v="0"/>
    <x v="3"/>
    <x v="4"/>
    <x v="2"/>
    <x v="1"/>
  </r>
  <r>
    <x v="355"/>
    <x v="17"/>
    <x v="0"/>
    <n v="42"/>
    <n v="42"/>
    <x v="15"/>
    <d v="2025-01-17T00:00:00"/>
    <x v="0"/>
    <x v="0"/>
    <x v="0"/>
    <x v="0"/>
    <x v="3"/>
    <x v="3"/>
    <x v="2"/>
    <x v="0"/>
  </r>
  <r>
    <x v="356"/>
    <x v="0"/>
    <x v="11"/>
    <n v="21.8"/>
    <n v="196.20000000000002"/>
    <x v="15"/>
    <d v="2025-01-18T00:00:00"/>
    <x v="2"/>
    <x v="1"/>
    <x v="0"/>
    <x v="0"/>
    <x v="3"/>
    <x v="1"/>
    <x v="2"/>
    <x v="2"/>
  </r>
  <r>
    <x v="357"/>
    <x v="8"/>
    <x v="16"/>
    <n v="21.4"/>
    <n v="385.2"/>
    <x v="15"/>
    <d v="2025-01-19T00:00:00"/>
    <x v="2"/>
    <x v="1"/>
    <x v="2"/>
    <x v="0"/>
    <x v="3"/>
    <x v="2"/>
    <x v="2"/>
    <x v="2"/>
  </r>
  <r>
    <x v="358"/>
    <x v="10"/>
    <x v="2"/>
    <n v="45"/>
    <n v="135"/>
    <x v="15"/>
    <d v="2025-01-16T00:00:00"/>
    <x v="2"/>
    <x v="1"/>
    <x v="2"/>
    <x v="0"/>
    <x v="3"/>
    <x v="7"/>
    <x v="2"/>
    <x v="2"/>
  </r>
  <r>
    <x v="359"/>
    <x v="14"/>
    <x v="0"/>
    <n v="39.6"/>
    <n v="39.6"/>
    <x v="15"/>
    <d v="2025-01-17T00:00:00"/>
    <x v="1"/>
    <x v="0"/>
    <x v="2"/>
    <x v="0"/>
    <x v="3"/>
    <x v="3"/>
    <x v="2"/>
    <x v="1"/>
  </r>
  <r>
    <x v="360"/>
    <x v="12"/>
    <x v="2"/>
    <n v="79.8"/>
    <n v="239.39999999999998"/>
    <x v="15"/>
    <d v="2025-01-22T00:00:00"/>
    <x v="2"/>
    <x v="1"/>
    <x v="4"/>
    <x v="0"/>
    <x v="3"/>
    <x v="4"/>
    <x v="2"/>
    <x v="2"/>
  </r>
  <r>
    <x v="361"/>
    <x v="1"/>
    <x v="12"/>
    <n v="63.6"/>
    <n v="254.4"/>
    <x v="15"/>
    <d v="2025-01-17T00:00:00"/>
    <x v="3"/>
    <x v="0"/>
    <x v="2"/>
    <x v="0"/>
    <x v="24"/>
    <x v="3"/>
    <x v="2"/>
    <x v="3"/>
  </r>
  <r>
    <x v="362"/>
    <x v="7"/>
    <x v="7"/>
    <n v="92.7"/>
    <n v="927"/>
    <x v="15"/>
    <d v="2025-01-20T00:00:00"/>
    <x v="1"/>
    <x v="1"/>
    <x v="2"/>
    <x v="0"/>
    <x v="6"/>
    <x v="5"/>
    <x v="2"/>
    <x v="1"/>
  </r>
  <r>
    <x v="363"/>
    <x v="1"/>
    <x v="12"/>
    <n v="48.4"/>
    <n v="193.6"/>
    <x v="15"/>
    <d v="2025-01-18T00:00:00"/>
    <x v="2"/>
    <x v="1"/>
    <x v="2"/>
    <x v="0"/>
    <x v="6"/>
    <x v="1"/>
    <x v="2"/>
    <x v="2"/>
  </r>
  <r>
    <x v="364"/>
    <x v="9"/>
    <x v="8"/>
    <n v="36"/>
    <n v="288"/>
    <x v="15"/>
    <d v="2025-01-19T00:00:00"/>
    <x v="1"/>
    <x v="2"/>
    <x v="2"/>
    <x v="0"/>
    <x v="8"/>
    <x v="2"/>
    <x v="2"/>
    <x v="1"/>
  </r>
  <r>
    <x v="365"/>
    <x v="8"/>
    <x v="4"/>
    <n v="27"/>
    <n v="324"/>
    <x v="15"/>
    <d v="2025-01-18T00:00:00"/>
    <x v="2"/>
    <x v="2"/>
    <x v="1"/>
    <x v="0"/>
    <x v="8"/>
    <x v="1"/>
    <x v="2"/>
    <x v="2"/>
  </r>
  <r>
    <x v="366"/>
    <x v="2"/>
    <x v="8"/>
    <n v="53.9"/>
    <n v="431.2"/>
    <x v="15"/>
    <d v="2025-01-17T00:00:00"/>
    <x v="0"/>
    <x v="0"/>
    <x v="0"/>
    <x v="0"/>
    <x v="8"/>
    <x v="3"/>
    <x v="2"/>
    <x v="0"/>
  </r>
  <r>
    <x v="367"/>
    <x v="3"/>
    <x v="11"/>
    <n v="48.4"/>
    <n v="435.59999999999997"/>
    <x v="15"/>
    <d v="2025-01-17T00:00:00"/>
    <x v="2"/>
    <x v="1"/>
    <x v="0"/>
    <x v="0"/>
    <x v="9"/>
    <x v="3"/>
    <x v="2"/>
    <x v="2"/>
  </r>
  <r>
    <x v="368"/>
    <x v="17"/>
    <x v="1"/>
    <n v="49.9"/>
    <n v="99.8"/>
    <x v="15"/>
    <d v="2025-01-21T00:00:00"/>
    <x v="1"/>
    <x v="4"/>
    <x v="4"/>
    <x v="0"/>
    <x v="10"/>
    <x v="0"/>
    <x v="2"/>
    <x v="1"/>
  </r>
  <r>
    <x v="369"/>
    <x v="1"/>
    <x v="2"/>
    <n v="51.7"/>
    <n v="155.10000000000002"/>
    <x v="15"/>
    <d v="2025-01-17T00:00:00"/>
    <x v="2"/>
    <x v="0"/>
    <x v="2"/>
    <x v="0"/>
    <x v="11"/>
    <x v="3"/>
    <x v="2"/>
    <x v="2"/>
  </r>
  <r>
    <x v="370"/>
    <x v="8"/>
    <x v="2"/>
    <n v="41.8"/>
    <n v="125.39999999999999"/>
    <x v="15"/>
    <d v="2025-01-18T00:00:00"/>
    <x v="2"/>
    <x v="2"/>
    <x v="0"/>
    <x v="0"/>
    <x v="18"/>
    <x v="1"/>
    <x v="2"/>
    <x v="2"/>
  </r>
  <r>
    <x v="371"/>
    <x v="4"/>
    <x v="12"/>
    <n v="36.200000000000003"/>
    <n v="144.80000000000001"/>
    <x v="16"/>
    <d v="2025-01-18T00:00:00"/>
    <x v="1"/>
    <x v="2"/>
    <x v="2"/>
    <x v="0"/>
    <x v="21"/>
    <x v="3"/>
    <x v="2"/>
    <x v="1"/>
  </r>
  <r>
    <x v="372"/>
    <x v="2"/>
    <x v="0"/>
    <n v="150.9"/>
    <n v="150.9"/>
    <x v="16"/>
    <d v="2025-01-27T00:00:00"/>
    <x v="1"/>
    <x v="0"/>
    <x v="0"/>
    <x v="0"/>
    <x v="1"/>
    <x v="14"/>
    <x v="2"/>
    <x v="1"/>
  </r>
  <r>
    <x v="373"/>
    <x v="18"/>
    <x v="12"/>
    <n v="77.599999999999994"/>
    <n v="310.39999999999998"/>
    <x v="16"/>
    <d v="2025-01-18T00:00:00"/>
    <x v="0"/>
    <x v="2"/>
    <x v="0"/>
    <x v="0"/>
    <x v="3"/>
    <x v="3"/>
    <x v="2"/>
    <x v="0"/>
  </r>
  <r>
    <x v="374"/>
    <x v="13"/>
    <x v="9"/>
    <n v="65.5"/>
    <n v="327.5"/>
    <x v="16"/>
    <d v="2025-01-17T00:00:00"/>
    <x v="1"/>
    <x v="1"/>
    <x v="0"/>
    <x v="0"/>
    <x v="3"/>
    <x v="7"/>
    <x v="2"/>
    <x v="1"/>
  </r>
  <r>
    <x v="375"/>
    <x v="6"/>
    <x v="2"/>
    <n v="90.1"/>
    <n v="270.29999999999995"/>
    <x v="16"/>
    <d v="2025-01-19T00:00:00"/>
    <x v="2"/>
    <x v="0"/>
    <x v="0"/>
    <x v="0"/>
    <x v="3"/>
    <x v="1"/>
    <x v="2"/>
    <x v="2"/>
  </r>
  <r>
    <x v="376"/>
    <x v="1"/>
    <x v="1"/>
    <n v="108.3"/>
    <n v="216.6"/>
    <x v="16"/>
    <d v="2025-01-20T00:00:00"/>
    <x v="3"/>
    <x v="4"/>
    <x v="0"/>
    <x v="0"/>
    <x v="3"/>
    <x v="2"/>
    <x v="2"/>
    <x v="3"/>
  </r>
  <r>
    <x v="377"/>
    <x v="5"/>
    <x v="2"/>
    <n v="59.9"/>
    <n v="179.7"/>
    <x v="16"/>
    <d v="2025-01-21T00:00:00"/>
    <x v="2"/>
    <x v="0"/>
    <x v="0"/>
    <x v="0"/>
    <x v="3"/>
    <x v="5"/>
    <x v="2"/>
    <x v="2"/>
  </r>
  <r>
    <x v="378"/>
    <x v="2"/>
    <x v="14"/>
    <n v="139"/>
    <n v="2363"/>
    <x v="16"/>
    <d v="2025-01-19T00:00:00"/>
    <x v="2"/>
    <x v="1"/>
    <x v="4"/>
    <x v="0"/>
    <x v="3"/>
    <x v="1"/>
    <x v="2"/>
    <x v="2"/>
  </r>
  <r>
    <x v="379"/>
    <x v="6"/>
    <x v="2"/>
    <n v="87.3"/>
    <n v="261.89999999999998"/>
    <x v="16"/>
    <d v="2025-01-18T00:00:00"/>
    <x v="2"/>
    <x v="0"/>
    <x v="0"/>
    <x v="0"/>
    <x v="3"/>
    <x v="3"/>
    <x v="2"/>
    <x v="2"/>
  </r>
  <r>
    <x v="380"/>
    <x v="11"/>
    <x v="12"/>
    <n v="42.3"/>
    <n v="169.2"/>
    <x v="16"/>
    <d v="2025-01-17T00:00:00"/>
    <x v="1"/>
    <x v="0"/>
    <x v="0"/>
    <x v="0"/>
    <x v="3"/>
    <x v="7"/>
    <x v="2"/>
    <x v="1"/>
  </r>
  <r>
    <x v="381"/>
    <x v="14"/>
    <x v="8"/>
    <n v="103.6"/>
    <n v="828.8"/>
    <x v="16"/>
    <d v="2025-01-18T00:00:00"/>
    <x v="3"/>
    <x v="0"/>
    <x v="1"/>
    <x v="0"/>
    <x v="3"/>
    <x v="3"/>
    <x v="2"/>
    <x v="3"/>
  </r>
  <r>
    <x v="382"/>
    <x v="6"/>
    <x v="1"/>
    <n v="90.9"/>
    <n v="181.8"/>
    <x v="16"/>
    <d v="2025-01-18T00:00:00"/>
    <x v="1"/>
    <x v="1"/>
    <x v="0"/>
    <x v="0"/>
    <x v="6"/>
    <x v="3"/>
    <x v="2"/>
    <x v="1"/>
  </r>
  <r>
    <x v="383"/>
    <x v="9"/>
    <x v="27"/>
    <n v="100.9"/>
    <n v="1614.4"/>
    <x v="16"/>
    <d v="2025-01-18T00:00:00"/>
    <x v="2"/>
    <x v="1"/>
    <x v="0"/>
    <x v="0"/>
    <x v="6"/>
    <x v="3"/>
    <x v="2"/>
    <x v="2"/>
  </r>
  <r>
    <x v="384"/>
    <x v="4"/>
    <x v="9"/>
    <n v="36"/>
    <n v="180"/>
    <x v="16"/>
    <d v="2025-01-19T00:00:00"/>
    <x v="2"/>
    <x v="1"/>
    <x v="0"/>
    <x v="0"/>
    <x v="7"/>
    <x v="1"/>
    <x v="2"/>
    <x v="2"/>
  </r>
  <r>
    <x v="385"/>
    <x v="6"/>
    <x v="13"/>
    <n v="83.3"/>
    <n v="499.79999999999995"/>
    <x v="16"/>
    <d v="2025-01-20T00:00:00"/>
    <x v="0"/>
    <x v="2"/>
    <x v="0"/>
    <x v="0"/>
    <x v="7"/>
    <x v="2"/>
    <x v="2"/>
    <x v="0"/>
  </r>
  <r>
    <x v="386"/>
    <x v="2"/>
    <x v="14"/>
    <n v="60.3"/>
    <n v="1025.0999999999999"/>
    <x v="16"/>
    <d v="2025-01-18T00:00:00"/>
    <x v="1"/>
    <x v="2"/>
    <x v="1"/>
    <x v="0"/>
    <x v="7"/>
    <x v="3"/>
    <x v="2"/>
    <x v="1"/>
  </r>
  <r>
    <x v="387"/>
    <x v="2"/>
    <x v="13"/>
    <n v="120.3"/>
    <n v="721.8"/>
    <x v="16"/>
    <d v="2025-01-18T00:00:00"/>
    <x v="1"/>
    <x v="2"/>
    <x v="0"/>
    <x v="0"/>
    <x v="8"/>
    <x v="3"/>
    <x v="2"/>
    <x v="1"/>
  </r>
  <r>
    <x v="388"/>
    <x v="4"/>
    <x v="7"/>
    <n v="34"/>
    <n v="340"/>
    <x v="16"/>
    <d v="2025-01-21T00:00:00"/>
    <x v="2"/>
    <x v="2"/>
    <x v="0"/>
    <x v="0"/>
    <x v="8"/>
    <x v="5"/>
    <x v="2"/>
    <x v="2"/>
  </r>
  <r>
    <x v="389"/>
    <x v="10"/>
    <x v="9"/>
    <n v="42.6"/>
    <n v="213"/>
    <x v="16"/>
    <d v="2025-01-20T00:00:00"/>
    <x v="1"/>
    <x v="1"/>
    <x v="0"/>
    <x v="0"/>
    <x v="8"/>
    <x v="2"/>
    <x v="2"/>
    <x v="1"/>
  </r>
  <r>
    <x v="390"/>
    <x v="5"/>
    <x v="28"/>
    <n v="47.4"/>
    <n v="948"/>
    <x v="16"/>
    <d v="2025-01-17T00:00:00"/>
    <x v="2"/>
    <x v="2"/>
    <x v="1"/>
    <x v="0"/>
    <x v="17"/>
    <x v="7"/>
    <x v="2"/>
    <x v="2"/>
  </r>
  <r>
    <x v="391"/>
    <x v="2"/>
    <x v="0"/>
    <n v="74"/>
    <n v="74"/>
    <x v="17"/>
    <d v="2025-01-19T00:00:00"/>
    <x v="1"/>
    <x v="1"/>
    <x v="0"/>
    <x v="0"/>
    <x v="11"/>
    <x v="3"/>
    <x v="2"/>
    <x v="1"/>
  </r>
  <r>
    <x v="392"/>
    <x v="2"/>
    <x v="9"/>
    <n v="60.4"/>
    <n v="302"/>
    <x v="17"/>
    <d v="2025-01-21T00:00:00"/>
    <x v="2"/>
    <x v="1"/>
    <x v="4"/>
    <x v="0"/>
    <x v="18"/>
    <x v="2"/>
    <x v="2"/>
    <x v="2"/>
  </r>
  <r>
    <x v="393"/>
    <x v="12"/>
    <x v="1"/>
    <n v="69.3"/>
    <n v="138.6"/>
    <x v="17"/>
    <d v="2025-01-21T00:00:00"/>
    <x v="1"/>
    <x v="1"/>
    <x v="1"/>
    <x v="0"/>
    <x v="13"/>
    <x v="2"/>
    <x v="2"/>
    <x v="1"/>
  </r>
  <r>
    <x v="394"/>
    <x v="5"/>
    <x v="9"/>
    <n v="81"/>
    <n v="405"/>
    <x v="17"/>
    <d v="2025-01-24T00:00:00"/>
    <x v="1"/>
    <x v="3"/>
    <x v="0"/>
    <x v="0"/>
    <x v="21"/>
    <x v="4"/>
    <x v="2"/>
    <x v="1"/>
  </r>
  <r>
    <x v="395"/>
    <x v="15"/>
    <x v="2"/>
    <n v="41.5"/>
    <n v="124.5"/>
    <x v="17"/>
    <d v="2025-01-20T00:00:00"/>
    <x v="3"/>
    <x v="1"/>
    <x v="0"/>
    <x v="0"/>
    <x v="21"/>
    <x v="1"/>
    <x v="2"/>
    <x v="3"/>
  </r>
  <r>
    <x v="396"/>
    <x v="18"/>
    <x v="1"/>
    <n v="69.7"/>
    <n v="139.4"/>
    <x v="17"/>
    <d v="2025-01-23T00:00:00"/>
    <x v="1"/>
    <x v="1"/>
    <x v="0"/>
    <x v="0"/>
    <x v="21"/>
    <x v="0"/>
    <x v="2"/>
    <x v="1"/>
  </r>
  <r>
    <x v="397"/>
    <x v="2"/>
    <x v="9"/>
    <n v="83.6"/>
    <n v="418"/>
    <x v="17"/>
    <d v="2025-01-18T00:00:00"/>
    <x v="2"/>
    <x v="4"/>
    <x v="0"/>
    <x v="0"/>
    <x v="1"/>
    <x v="7"/>
    <x v="2"/>
    <x v="2"/>
  </r>
  <r>
    <x v="398"/>
    <x v="8"/>
    <x v="3"/>
    <n v="21.5"/>
    <n v="150.5"/>
    <x v="17"/>
    <d v="2025-01-20T00:00:00"/>
    <x v="1"/>
    <x v="1"/>
    <x v="4"/>
    <x v="0"/>
    <x v="34"/>
    <x v="1"/>
    <x v="2"/>
    <x v="1"/>
  </r>
  <r>
    <x v="399"/>
    <x v="8"/>
    <x v="8"/>
    <n v="28.6"/>
    <n v="228.8"/>
    <x v="17"/>
    <d v="2025-01-19T00:00:00"/>
    <x v="1"/>
    <x v="0"/>
    <x v="0"/>
    <x v="0"/>
    <x v="3"/>
    <x v="3"/>
    <x v="2"/>
    <x v="1"/>
  </r>
  <r>
    <x v="400"/>
    <x v="8"/>
    <x v="13"/>
    <n v="18.8"/>
    <n v="112.80000000000001"/>
    <x v="17"/>
    <d v="2025-01-21T00:00:00"/>
    <x v="1"/>
    <x v="3"/>
    <x v="2"/>
    <x v="0"/>
    <x v="3"/>
    <x v="2"/>
    <x v="2"/>
    <x v="1"/>
  </r>
  <r>
    <x v="401"/>
    <x v="10"/>
    <x v="12"/>
    <n v="35.1"/>
    <n v="140.4"/>
    <x v="17"/>
    <d v="2025-01-18T00:00:00"/>
    <x v="2"/>
    <x v="1"/>
    <x v="1"/>
    <x v="0"/>
    <x v="3"/>
    <x v="7"/>
    <x v="2"/>
    <x v="2"/>
  </r>
  <r>
    <x v="402"/>
    <x v="0"/>
    <x v="1"/>
    <n v="12.7"/>
    <n v="25.4"/>
    <x v="17"/>
    <d v="2025-01-20T00:00:00"/>
    <x v="2"/>
    <x v="1"/>
    <x v="2"/>
    <x v="0"/>
    <x v="3"/>
    <x v="1"/>
    <x v="2"/>
    <x v="2"/>
  </r>
  <r>
    <x v="403"/>
    <x v="8"/>
    <x v="9"/>
    <n v="27.4"/>
    <n v="137"/>
    <x v="17"/>
    <d v="2025-01-20T00:00:00"/>
    <x v="3"/>
    <x v="0"/>
    <x v="0"/>
    <x v="0"/>
    <x v="3"/>
    <x v="1"/>
    <x v="2"/>
    <x v="3"/>
  </r>
  <r>
    <x v="404"/>
    <x v="10"/>
    <x v="1"/>
    <n v="61.3"/>
    <n v="122.6"/>
    <x v="17"/>
    <d v="2025-01-19T00:00:00"/>
    <x v="2"/>
    <x v="1"/>
    <x v="0"/>
    <x v="0"/>
    <x v="6"/>
    <x v="3"/>
    <x v="2"/>
    <x v="2"/>
  </r>
  <r>
    <x v="405"/>
    <x v="8"/>
    <x v="1"/>
    <n v="64.7"/>
    <n v="129.4"/>
    <x v="17"/>
    <d v="2025-01-20T00:00:00"/>
    <x v="2"/>
    <x v="3"/>
    <x v="2"/>
    <x v="0"/>
    <x v="6"/>
    <x v="1"/>
    <x v="2"/>
    <x v="2"/>
  </r>
  <r>
    <x v="406"/>
    <x v="7"/>
    <x v="12"/>
    <n v="91.4"/>
    <n v="365.6"/>
    <x v="17"/>
    <d v="2025-01-20T00:00:00"/>
    <x v="2"/>
    <x v="0"/>
    <x v="0"/>
    <x v="0"/>
    <x v="8"/>
    <x v="1"/>
    <x v="2"/>
    <x v="2"/>
  </r>
  <r>
    <x v="407"/>
    <x v="0"/>
    <x v="1"/>
    <n v="33.1"/>
    <n v="66.2"/>
    <x v="18"/>
    <d v="2025-01-20T00:00:00"/>
    <x v="1"/>
    <x v="0"/>
    <x v="2"/>
    <x v="0"/>
    <x v="8"/>
    <x v="3"/>
    <x v="3"/>
    <x v="1"/>
  </r>
  <r>
    <x v="408"/>
    <x v="3"/>
    <x v="1"/>
    <n v="105.6"/>
    <n v="211.2"/>
    <x v="18"/>
    <d v="2025-01-20T00:00:00"/>
    <x v="1"/>
    <x v="2"/>
    <x v="1"/>
    <x v="0"/>
    <x v="8"/>
    <x v="3"/>
    <x v="3"/>
    <x v="1"/>
  </r>
  <r>
    <x v="409"/>
    <x v="10"/>
    <x v="2"/>
    <n v="46.4"/>
    <n v="139.19999999999999"/>
    <x v="18"/>
    <d v="2025-01-20T00:00:00"/>
    <x v="1"/>
    <x v="2"/>
    <x v="0"/>
    <x v="0"/>
    <x v="9"/>
    <x v="3"/>
    <x v="3"/>
    <x v="1"/>
  </r>
  <r>
    <x v="410"/>
    <x v="9"/>
    <x v="21"/>
    <n v="35.299999999999997"/>
    <n v="494.19999999999993"/>
    <x v="18"/>
    <d v="2025-01-22T00:00:00"/>
    <x v="2"/>
    <x v="4"/>
    <x v="1"/>
    <x v="0"/>
    <x v="11"/>
    <x v="2"/>
    <x v="3"/>
    <x v="2"/>
  </r>
  <r>
    <x v="411"/>
    <x v="0"/>
    <x v="1"/>
    <n v="16.100000000000001"/>
    <n v="32.200000000000003"/>
    <x v="18"/>
    <d v="2025-01-21T00:00:00"/>
    <x v="1"/>
    <x v="3"/>
    <x v="2"/>
    <x v="0"/>
    <x v="32"/>
    <x v="1"/>
    <x v="3"/>
    <x v="1"/>
  </r>
  <r>
    <x v="412"/>
    <x v="4"/>
    <x v="1"/>
    <n v="27.9"/>
    <n v="55.8"/>
    <x v="18"/>
    <d v="2025-01-22T00:00:00"/>
    <x v="1"/>
    <x v="0"/>
    <x v="0"/>
    <x v="0"/>
    <x v="13"/>
    <x v="2"/>
    <x v="3"/>
    <x v="1"/>
  </r>
  <r>
    <x v="413"/>
    <x v="8"/>
    <x v="0"/>
    <n v="47.1"/>
    <n v="47.1"/>
    <x v="18"/>
    <d v="2025-01-27T00:00:00"/>
    <x v="2"/>
    <x v="1"/>
    <x v="0"/>
    <x v="0"/>
    <x v="2"/>
    <x v="9"/>
    <x v="3"/>
    <x v="2"/>
  </r>
  <r>
    <x v="414"/>
    <x v="6"/>
    <x v="1"/>
    <n v="85"/>
    <n v="170"/>
    <x v="18"/>
    <d v="2025-01-22T00:00:00"/>
    <x v="0"/>
    <x v="2"/>
    <x v="2"/>
    <x v="0"/>
    <x v="22"/>
    <x v="2"/>
    <x v="3"/>
    <x v="0"/>
  </r>
  <r>
    <x v="415"/>
    <x v="18"/>
    <x v="1"/>
    <n v="89"/>
    <n v="178"/>
    <x v="18"/>
    <d v="2025-01-21T00:00:00"/>
    <x v="2"/>
    <x v="0"/>
    <x v="0"/>
    <x v="0"/>
    <x v="3"/>
    <x v="1"/>
    <x v="3"/>
    <x v="2"/>
  </r>
  <r>
    <x v="416"/>
    <x v="16"/>
    <x v="2"/>
    <n v="36.6"/>
    <n v="109.80000000000001"/>
    <x v="18"/>
    <d v="2025-01-20T00:00:00"/>
    <x v="3"/>
    <x v="3"/>
    <x v="2"/>
    <x v="0"/>
    <x v="3"/>
    <x v="3"/>
    <x v="3"/>
    <x v="3"/>
  </r>
  <r>
    <x v="417"/>
    <x v="6"/>
    <x v="3"/>
    <n v="43.5"/>
    <n v="304.5"/>
    <x v="18"/>
    <d v="2025-01-20T00:00:00"/>
    <x v="1"/>
    <x v="1"/>
    <x v="2"/>
    <x v="0"/>
    <x v="3"/>
    <x v="3"/>
    <x v="3"/>
    <x v="1"/>
  </r>
  <r>
    <x v="418"/>
    <x v="9"/>
    <x v="10"/>
    <n v="30.5"/>
    <n v="579.5"/>
    <x v="18"/>
    <d v="2025-01-19T00:00:00"/>
    <x v="2"/>
    <x v="3"/>
    <x v="0"/>
    <x v="0"/>
    <x v="3"/>
    <x v="7"/>
    <x v="3"/>
    <x v="2"/>
  </r>
  <r>
    <x v="419"/>
    <x v="1"/>
    <x v="1"/>
    <n v="107.7"/>
    <n v="215.4"/>
    <x v="18"/>
    <d v="2025-01-23T00:00:00"/>
    <x v="1"/>
    <x v="3"/>
    <x v="4"/>
    <x v="0"/>
    <x v="3"/>
    <x v="5"/>
    <x v="3"/>
    <x v="1"/>
  </r>
  <r>
    <x v="420"/>
    <x v="17"/>
    <x v="18"/>
    <n v="57.1"/>
    <n v="1484.6000000000001"/>
    <x v="18"/>
    <d v="2025-01-20T00:00:00"/>
    <x v="1"/>
    <x v="1"/>
    <x v="0"/>
    <x v="0"/>
    <x v="3"/>
    <x v="3"/>
    <x v="3"/>
    <x v="1"/>
  </r>
  <r>
    <x v="421"/>
    <x v="2"/>
    <x v="7"/>
    <n v="111.7"/>
    <n v="1117"/>
    <x v="18"/>
    <d v="2025-01-20T00:00:00"/>
    <x v="2"/>
    <x v="4"/>
    <x v="2"/>
    <x v="0"/>
    <x v="3"/>
    <x v="3"/>
    <x v="3"/>
    <x v="2"/>
  </r>
  <r>
    <x v="422"/>
    <x v="18"/>
    <x v="3"/>
    <n v="44.3"/>
    <n v="310.09999999999997"/>
    <x v="18"/>
    <d v="2025-01-22T00:00:00"/>
    <x v="1"/>
    <x v="3"/>
    <x v="2"/>
    <x v="0"/>
    <x v="3"/>
    <x v="2"/>
    <x v="3"/>
    <x v="1"/>
  </r>
  <r>
    <x v="423"/>
    <x v="2"/>
    <x v="8"/>
    <n v="95.8"/>
    <n v="766.4"/>
    <x v="18"/>
    <d v="2025-01-25T00:00:00"/>
    <x v="3"/>
    <x v="0"/>
    <x v="0"/>
    <x v="0"/>
    <x v="3"/>
    <x v="4"/>
    <x v="3"/>
    <x v="3"/>
  </r>
  <r>
    <x v="424"/>
    <x v="10"/>
    <x v="3"/>
    <n v="22.6"/>
    <n v="158.20000000000002"/>
    <x v="18"/>
    <d v="2025-01-22T00:00:00"/>
    <x v="2"/>
    <x v="3"/>
    <x v="1"/>
    <x v="0"/>
    <x v="3"/>
    <x v="2"/>
    <x v="3"/>
    <x v="2"/>
  </r>
  <r>
    <x v="425"/>
    <x v="8"/>
    <x v="8"/>
    <n v="25.6"/>
    <n v="204.8"/>
    <x v="18"/>
    <d v="2025-01-21T00:00:00"/>
    <x v="2"/>
    <x v="4"/>
    <x v="0"/>
    <x v="0"/>
    <x v="3"/>
    <x v="1"/>
    <x v="3"/>
    <x v="2"/>
  </r>
  <r>
    <x v="426"/>
    <x v="6"/>
    <x v="27"/>
    <n v="54.3"/>
    <n v="868.8"/>
    <x v="18"/>
    <d v="2025-01-22T00:00:00"/>
    <x v="2"/>
    <x v="4"/>
    <x v="0"/>
    <x v="0"/>
    <x v="3"/>
    <x v="2"/>
    <x v="3"/>
    <x v="2"/>
  </r>
  <r>
    <x v="427"/>
    <x v="18"/>
    <x v="15"/>
    <n v="51.3"/>
    <n v="666.9"/>
    <x v="18"/>
    <d v="2025-01-21T00:00:00"/>
    <x v="1"/>
    <x v="0"/>
    <x v="2"/>
    <x v="0"/>
    <x v="3"/>
    <x v="1"/>
    <x v="3"/>
    <x v="1"/>
  </r>
  <r>
    <x v="428"/>
    <x v="0"/>
    <x v="8"/>
    <n v="25.6"/>
    <n v="204.8"/>
    <x v="18"/>
    <d v="2025-01-20T00:00:00"/>
    <x v="2"/>
    <x v="1"/>
    <x v="1"/>
    <x v="0"/>
    <x v="3"/>
    <x v="3"/>
    <x v="3"/>
    <x v="2"/>
  </r>
  <r>
    <x v="429"/>
    <x v="0"/>
    <x v="1"/>
    <n v="15.6"/>
    <n v="31.2"/>
    <x v="18"/>
    <d v="2025-01-20T00:00:00"/>
    <x v="2"/>
    <x v="2"/>
    <x v="2"/>
    <x v="0"/>
    <x v="3"/>
    <x v="3"/>
    <x v="3"/>
    <x v="2"/>
  </r>
  <r>
    <x v="430"/>
    <x v="8"/>
    <x v="2"/>
    <n v="30.3"/>
    <n v="90.9"/>
    <x v="18"/>
    <d v="2025-01-23T00:00:00"/>
    <x v="2"/>
    <x v="0"/>
    <x v="1"/>
    <x v="0"/>
    <x v="3"/>
    <x v="5"/>
    <x v="3"/>
    <x v="2"/>
  </r>
  <r>
    <x v="431"/>
    <x v="12"/>
    <x v="1"/>
    <n v="30.3"/>
    <n v="60.6"/>
    <x v="18"/>
    <d v="2025-01-24T00:00:00"/>
    <x v="2"/>
    <x v="0"/>
    <x v="2"/>
    <x v="0"/>
    <x v="37"/>
    <x v="0"/>
    <x v="3"/>
    <x v="2"/>
  </r>
  <r>
    <x v="432"/>
    <x v="10"/>
    <x v="2"/>
    <n v="53"/>
    <n v="159"/>
    <x v="18"/>
    <d v="2025-01-26T00:00:00"/>
    <x v="2"/>
    <x v="2"/>
    <x v="0"/>
    <x v="0"/>
    <x v="24"/>
    <x v="6"/>
    <x v="3"/>
    <x v="2"/>
  </r>
  <r>
    <x v="433"/>
    <x v="5"/>
    <x v="16"/>
    <n v="59.9"/>
    <n v="1078.2"/>
    <x v="18"/>
    <d v="2025-01-22T00:00:00"/>
    <x v="1"/>
    <x v="2"/>
    <x v="4"/>
    <x v="0"/>
    <x v="25"/>
    <x v="2"/>
    <x v="3"/>
    <x v="1"/>
  </r>
  <r>
    <x v="434"/>
    <x v="9"/>
    <x v="1"/>
    <n v="45.7"/>
    <n v="91.4"/>
    <x v="18"/>
    <d v="2025-01-20T00:00:00"/>
    <x v="2"/>
    <x v="1"/>
    <x v="2"/>
    <x v="0"/>
    <x v="6"/>
    <x v="3"/>
    <x v="3"/>
    <x v="2"/>
  </r>
  <r>
    <x v="435"/>
    <x v="8"/>
    <x v="12"/>
    <n v="46.1"/>
    <n v="184.4"/>
    <x v="18"/>
    <d v="2025-01-20T00:00:00"/>
    <x v="1"/>
    <x v="0"/>
    <x v="0"/>
    <x v="0"/>
    <x v="6"/>
    <x v="3"/>
    <x v="3"/>
    <x v="1"/>
  </r>
  <r>
    <x v="436"/>
    <x v="8"/>
    <x v="2"/>
    <n v="17.5"/>
    <n v="52.5"/>
    <x v="18"/>
    <d v="2025-01-20T00:00:00"/>
    <x v="2"/>
    <x v="0"/>
    <x v="2"/>
    <x v="0"/>
    <x v="8"/>
    <x v="3"/>
    <x v="3"/>
    <x v="2"/>
  </r>
  <r>
    <x v="437"/>
    <x v="10"/>
    <x v="2"/>
    <n v="36.5"/>
    <n v="109.5"/>
    <x v="18"/>
    <d v="2025-01-30T00:00:00"/>
    <x v="1"/>
    <x v="2"/>
    <x v="0"/>
    <x v="0"/>
    <x v="8"/>
    <x v="11"/>
    <x v="3"/>
    <x v="1"/>
  </r>
  <r>
    <x v="438"/>
    <x v="8"/>
    <x v="1"/>
    <n v="47.5"/>
    <n v="95"/>
    <x v="19"/>
    <d v="2025-01-22T00:00:00"/>
    <x v="2"/>
    <x v="1"/>
    <x v="0"/>
    <x v="0"/>
    <x v="8"/>
    <x v="1"/>
    <x v="3"/>
    <x v="2"/>
  </r>
  <r>
    <x v="439"/>
    <x v="6"/>
    <x v="9"/>
    <n v="45.6"/>
    <n v="228"/>
    <x v="19"/>
    <d v="2025-01-22T00:00:00"/>
    <x v="2"/>
    <x v="0"/>
    <x v="2"/>
    <x v="0"/>
    <x v="8"/>
    <x v="1"/>
    <x v="3"/>
    <x v="2"/>
  </r>
  <r>
    <x v="440"/>
    <x v="9"/>
    <x v="1"/>
    <n v="50.5"/>
    <n v="101"/>
    <x v="19"/>
    <d v="2025-01-22T00:00:00"/>
    <x v="1"/>
    <x v="0"/>
    <x v="1"/>
    <x v="0"/>
    <x v="17"/>
    <x v="1"/>
    <x v="3"/>
    <x v="1"/>
  </r>
  <r>
    <x v="441"/>
    <x v="2"/>
    <x v="7"/>
    <n v="99.8"/>
    <n v="998"/>
    <x v="19"/>
    <d v="2025-01-23T00:00:00"/>
    <x v="2"/>
    <x v="2"/>
    <x v="1"/>
    <x v="0"/>
    <x v="17"/>
    <x v="2"/>
    <x v="3"/>
    <x v="2"/>
  </r>
  <r>
    <x v="442"/>
    <x v="8"/>
    <x v="20"/>
    <n v="19.2"/>
    <n v="288"/>
    <x v="19"/>
    <d v="2025-01-22T00:00:00"/>
    <x v="3"/>
    <x v="4"/>
    <x v="1"/>
    <x v="0"/>
    <x v="26"/>
    <x v="1"/>
    <x v="3"/>
    <x v="3"/>
  </r>
  <r>
    <x v="443"/>
    <x v="17"/>
    <x v="2"/>
    <n v="22.6"/>
    <n v="67.800000000000011"/>
    <x v="19"/>
    <d v="2025-01-21T00:00:00"/>
    <x v="1"/>
    <x v="1"/>
    <x v="0"/>
    <x v="0"/>
    <x v="11"/>
    <x v="3"/>
    <x v="3"/>
    <x v="1"/>
  </r>
  <r>
    <x v="444"/>
    <x v="1"/>
    <x v="20"/>
    <n v="126.9"/>
    <n v="1903.5"/>
    <x v="19"/>
    <d v="2025-01-22T00:00:00"/>
    <x v="2"/>
    <x v="0"/>
    <x v="2"/>
    <x v="0"/>
    <x v="11"/>
    <x v="1"/>
    <x v="3"/>
    <x v="2"/>
  </r>
  <r>
    <x v="445"/>
    <x v="2"/>
    <x v="1"/>
    <n v="100.3"/>
    <n v="200.6"/>
    <x v="19"/>
    <d v="2025-01-21T00:00:00"/>
    <x v="2"/>
    <x v="0"/>
    <x v="1"/>
    <x v="0"/>
    <x v="11"/>
    <x v="3"/>
    <x v="3"/>
    <x v="2"/>
  </r>
  <r>
    <x v="446"/>
    <x v="4"/>
    <x v="16"/>
    <n v="24.6"/>
    <n v="442.8"/>
    <x v="19"/>
    <d v="2025-01-21T00:00:00"/>
    <x v="2"/>
    <x v="4"/>
    <x v="0"/>
    <x v="0"/>
    <x v="13"/>
    <x v="3"/>
    <x v="3"/>
    <x v="2"/>
  </r>
  <r>
    <x v="447"/>
    <x v="6"/>
    <x v="1"/>
    <n v="47.3"/>
    <n v="94.6"/>
    <x v="19"/>
    <d v="2025-01-21T00:00:00"/>
    <x v="1"/>
    <x v="1"/>
    <x v="2"/>
    <x v="0"/>
    <x v="13"/>
    <x v="3"/>
    <x v="3"/>
    <x v="1"/>
  </r>
  <r>
    <x v="448"/>
    <x v="6"/>
    <x v="3"/>
    <n v="40.799999999999997"/>
    <n v="285.59999999999997"/>
    <x v="19"/>
    <d v="2025-01-23T00:00:00"/>
    <x v="2"/>
    <x v="2"/>
    <x v="2"/>
    <x v="0"/>
    <x v="21"/>
    <x v="2"/>
    <x v="3"/>
    <x v="2"/>
  </r>
  <r>
    <x v="449"/>
    <x v="8"/>
    <x v="8"/>
    <n v="49.2"/>
    <n v="393.6"/>
    <x v="19"/>
    <d v="2025-01-22T00:00:00"/>
    <x v="2"/>
    <x v="0"/>
    <x v="0"/>
    <x v="0"/>
    <x v="1"/>
    <x v="1"/>
    <x v="3"/>
    <x v="2"/>
  </r>
  <r>
    <x v="450"/>
    <x v="8"/>
    <x v="0"/>
    <n v="28.5"/>
    <n v="28.5"/>
    <x v="19"/>
    <d v="2025-01-22T00:00:00"/>
    <x v="0"/>
    <x v="2"/>
    <x v="1"/>
    <x v="0"/>
    <x v="3"/>
    <x v="1"/>
    <x v="3"/>
    <x v="0"/>
  </r>
  <r>
    <x v="451"/>
    <x v="18"/>
    <x v="1"/>
    <n v="36.799999999999997"/>
    <n v="73.599999999999994"/>
    <x v="19"/>
    <d v="2025-01-26T00:00:00"/>
    <x v="2"/>
    <x v="0"/>
    <x v="2"/>
    <x v="0"/>
    <x v="3"/>
    <x v="4"/>
    <x v="3"/>
    <x v="2"/>
  </r>
  <r>
    <x v="452"/>
    <x v="7"/>
    <x v="2"/>
    <n v="33.5"/>
    <n v="100.5"/>
    <x v="19"/>
    <d v="2025-01-21T00:00:00"/>
    <x v="2"/>
    <x v="0"/>
    <x v="1"/>
    <x v="0"/>
    <x v="3"/>
    <x v="3"/>
    <x v="3"/>
    <x v="2"/>
  </r>
  <r>
    <x v="453"/>
    <x v="6"/>
    <x v="13"/>
    <n v="62.5"/>
    <n v="375"/>
    <x v="19"/>
    <d v="2025-01-22T00:00:00"/>
    <x v="2"/>
    <x v="0"/>
    <x v="0"/>
    <x v="0"/>
    <x v="3"/>
    <x v="1"/>
    <x v="3"/>
    <x v="2"/>
  </r>
  <r>
    <x v="454"/>
    <x v="8"/>
    <x v="29"/>
    <n v="47.9"/>
    <n v="1916"/>
    <x v="19"/>
    <d v="2025-01-21T00:00:00"/>
    <x v="2"/>
    <x v="3"/>
    <x v="0"/>
    <x v="0"/>
    <x v="3"/>
    <x v="3"/>
    <x v="3"/>
    <x v="2"/>
  </r>
  <r>
    <x v="455"/>
    <x v="6"/>
    <x v="13"/>
    <n v="92.9"/>
    <n v="557.40000000000009"/>
    <x v="19"/>
    <d v="2025-01-31T00:00:00"/>
    <x v="2"/>
    <x v="0"/>
    <x v="4"/>
    <x v="0"/>
    <x v="3"/>
    <x v="11"/>
    <x v="3"/>
    <x v="2"/>
  </r>
  <r>
    <x v="456"/>
    <x v="12"/>
    <x v="2"/>
    <n v="44.1"/>
    <n v="132.30000000000001"/>
    <x v="19"/>
    <d v="2025-01-20T00:00:00"/>
    <x v="2"/>
    <x v="1"/>
    <x v="1"/>
    <x v="0"/>
    <x v="43"/>
    <x v="7"/>
    <x v="3"/>
    <x v="2"/>
  </r>
  <r>
    <x v="457"/>
    <x v="0"/>
    <x v="0"/>
    <n v="11.4"/>
    <n v="11.4"/>
    <x v="20"/>
    <d v="2025-01-23T00:00:00"/>
    <x v="2"/>
    <x v="2"/>
    <x v="0"/>
    <x v="0"/>
    <x v="5"/>
    <x v="1"/>
    <x v="3"/>
    <x v="2"/>
  </r>
  <r>
    <x v="458"/>
    <x v="6"/>
    <x v="0"/>
    <n v="83.7"/>
    <n v="83.7"/>
    <x v="20"/>
    <d v="2025-01-23T00:00:00"/>
    <x v="2"/>
    <x v="0"/>
    <x v="2"/>
    <x v="0"/>
    <x v="6"/>
    <x v="1"/>
    <x v="3"/>
    <x v="2"/>
  </r>
  <r>
    <x v="459"/>
    <x v="10"/>
    <x v="1"/>
    <n v="23.2"/>
    <n v="46.4"/>
    <x v="20"/>
    <d v="2025-01-22T00:00:00"/>
    <x v="1"/>
    <x v="2"/>
    <x v="0"/>
    <x v="0"/>
    <x v="8"/>
    <x v="3"/>
    <x v="3"/>
    <x v="1"/>
  </r>
  <r>
    <x v="460"/>
    <x v="2"/>
    <x v="0"/>
    <n v="162.1"/>
    <n v="162.1"/>
    <x v="20"/>
    <d v="2025-01-24T00:00:00"/>
    <x v="2"/>
    <x v="0"/>
    <x v="2"/>
    <x v="0"/>
    <x v="9"/>
    <x v="2"/>
    <x v="3"/>
    <x v="2"/>
  </r>
  <r>
    <x v="461"/>
    <x v="6"/>
    <x v="12"/>
    <n v="49.2"/>
    <n v="196.8"/>
    <x v="20"/>
    <d v="2025-01-25T00:00:00"/>
    <x v="1"/>
    <x v="1"/>
    <x v="0"/>
    <x v="0"/>
    <x v="9"/>
    <x v="5"/>
    <x v="3"/>
    <x v="1"/>
  </r>
  <r>
    <x v="462"/>
    <x v="1"/>
    <x v="1"/>
    <n v="61"/>
    <n v="122"/>
    <x v="20"/>
    <d v="2025-01-22T00:00:00"/>
    <x v="1"/>
    <x v="3"/>
    <x v="0"/>
    <x v="0"/>
    <x v="10"/>
    <x v="3"/>
    <x v="3"/>
    <x v="1"/>
  </r>
  <r>
    <x v="463"/>
    <x v="2"/>
    <x v="7"/>
    <n v="53.1"/>
    <n v="531"/>
    <x v="20"/>
    <d v="2025-01-23T00:00:00"/>
    <x v="1"/>
    <x v="0"/>
    <x v="0"/>
    <x v="0"/>
    <x v="11"/>
    <x v="1"/>
    <x v="3"/>
    <x v="1"/>
  </r>
  <r>
    <x v="464"/>
    <x v="4"/>
    <x v="1"/>
    <n v="22.4"/>
    <n v="44.8"/>
    <x v="20"/>
    <d v="2025-01-23T00:00:00"/>
    <x v="0"/>
    <x v="1"/>
    <x v="2"/>
    <x v="0"/>
    <x v="13"/>
    <x v="1"/>
    <x v="3"/>
    <x v="0"/>
  </r>
  <r>
    <x v="465"/>
    <x v="1"/>
    <x v="9"/>
    <n v="75.3"/>
    <n v="376.5"/>
    <x v="20"/>
    <d v="2025-01-22T00:00:00"/>
    <x v="1"/>
    <x v="0"/>
    <x v="0"/>
    <x v="0"/>
    <x v="21"/>
    <x v="3"/>
    <x v="3"/>
    <x v="1"/>
  </r>
  <r>
    <x v="466"/>
    <x v="6"/>
    <x v="0"/>
    <n v="48.5"/>
    <n v="48.5"/>
    <x v="20"/>
    <d v="2025-01-22T00:00:00"/>
    <x v="2"/>
    <x v="0"/>
    <x v="1"/>
    <x v="0"/>
    <x v="21"/>
    <x v="3"/>
    <x v="3"/>
    <x v="2"/>
  </r>
  <r>
    <x v="467"/>
    <x v="6"/>
    <x v="0"/>
    <n v="42.6"/>
    <n v="42.6"/>
    <x v="20"/>
    <d v="2025-01-25T00:00:00"/>
    <x v="2"/>
    <x v="3"/>
    <x v="0"/>
    <x v="0"/>
    <x v="1"/>
    <x v="5"/>
    <x v="3"/>
    <x v="2"/>
  </r>
  <r>
    <x v="468"/>
    <x v="5"/>
    <x v="9"/>
    <n v="49"/>
    <n v="245"/>
    <x v="20"/>
    <d v="2025-01-22T00:00:00"/>
    <x v="1"/>
    <x v="0"/>
    <x v="0"/>
    <x v="0"/>
    <x v="22"/>
    <x v="3"/>
    <x v="3"/>
    <x v="1"/>
  </r>
  <r>
    <x v="469"/>
    <x v="8"/>
    <x v="2"/>
    <n v="31.3"/>
    <n v="93.9"/>
    <x v="20"/>
    <d v="2025-01-22T00:00:00"/>
    <x v="1"/>
    <x v="2"/>
    <x v="1"/>
    <x v="0"/>
    <x v="3"/>
    <x v="3"/>
    <x v="3"/>
    <x v="1"/>
  </r>
  <r>
    <x v="470"/>
    <x v="2"/>
    <x v="1"/>
    <n v="85.4"/>
    <n v="170.8"/>
    <x v="20"/>
    <d v="2025-01-22T00:00:00"/>
    <x v="2"/>
    <x v="2"/>
    <x v="0"/>
    <x v="0"/>
    <x v="3"/>
    <x v="3"/>
    <x v="3"/>
    <x v="2"/>
  </r>
  <r>
    <x v="471"/>
    <x v="8"/>
    <x v="12"/>
    <n v="40"/>
    <n v="160"/>
    <x v="20"/>
    <d v="2025-01-22T00:00:00"/>
    <x v="3"/>
    <x v="0"/>
    <x v="2"/>
    <x v="0"/>
    <x v="3"/>
    <x v="3"/>
    <x v="3"/>
    <x v="3"/>
  </r>
  <r>
    <x v="472"/>
    <x v="5"/>
    <x v="1"/>
    <n v="38.5"/>
    <n v="77"/>
    <x v="20"/>
    <d v="2025-01-24T00:00:00"/>
    <x v="1"/>
    <x v="1"/>
    <x v="2"/>
    <x v="0"/>
    <x v="3"/>
    <x v="2"/>
    <x v="3"/>
    <x v="1"/>
  </r>
  <r>
    <x v="473"/>
    <x v="2"/>
    <x v="1"/>
    <n v="57.8"/>
    <n v="115.6"/>
    <x v="20"/>
    <d v="2025-01-22T00:00:00"/>
    <x v="0"/>
    <x v="0"/>
    <x v="0"/>
    <x v="0"/>
    <x v="3"/>
    <x v="3"/>
    <x v="3"/>
    <x v="0"/>
  </r>
  <r>
    <x v="474"/>
    <x v="8"/>
    <x v="0"/>
    <n v="19.2"/>
    <n v="19.2"/>
    <x v="20"/>
    <d v="2025-01-22T00:00:00"/>
    <x v="2"/>
    <x v="0"/>
    <x v="4"/>
    <x v="0"/>
    <x v="3"/>
    <x v="3"/>
    <x v="3"/>
    <x v="2"/>
  </r>
  <r>
    <x v="475"/>
    <x v="6"/>
    <x v="13"/>
    <n v="114.8"/>
    <n v="688.8"/>
    <x v="20"/>
    <d v="2025-01-24T00:00:00"/>
    <x v="1"/>
    <x v="1"/>
    <x v="1"/>
    <x v="0"/>
    <x v="3"/>
    <x v="2"/>
    <x v="3"/>
    <x v="1"/>
  </r>
  <r>
    <x v="476"/>
    <x v="10"/>
    <x v="3"/>
    <n v="48.4"/>
    <n v="338.8"/>
    <x v="20"/>
    <d v="2025-01-24T00:00:00"/>
    <x v="2"/>
    <x v="3"/>
    <x v="1"/>
    <x v="0"/>
    <x v="3"/>
    <x v="2"/>
    <x v="3"/>
    <x v="2"/>
  </r>
  <r>
    <x v="477"/>
    <x v="9"/>
    <x v="9"/>
    <n v="73.2"/>
    <n v="366"/>
    <x v="20"/>
    <d v="2025-01-22T00:00:00"/>
    <x v="2"/>
    <x v="1"/>
    <x v="4"/>
    <x v="0"/>
    <x v="3"/>
    <x v="3"/>
    <x v="3"/>
    <x v="2"/>
  </r>
  <r>
    <x v="478"/>
    <x v="15"/>
    <x v="1"/>
    <n v="48.6"/>
    <n v="97.2"/>
    <x v="20"/>
    <d v="2025-01-25T00:00:00"/>
    <x v="2"/>
    <x v="3"/>
    <x v="0"/>
    <x v="0"/>
    <x v="3"/>
    <x v="5"/>
    <x v="3"/>
    <x v="2"/>
  </r>
  <r>
    <x v="479"/>
    <x v="0"/>
    <x v="13"/>
    <n v="48.7"/>
    <n v="292.20000000000005"/>
    <x v="20"/>
    <d v="2025-01-22T00:00:00"/>
    <x v="1"/>
    <x v="0"/>
    <x v="0"/>
    <x v="0"/>
    <x v="3"/>
    <x v="3"/>
    <x v="3"/>
    <x v="1"/>
  </r>
  <r>
    <x v="480"/>
    <x v="4"/>
    <x v="1"/>
    <n v="32.200000000000003"/>
    <n v="64.400000000000006"/>
    <x v="20"/>
    <d v="2025-01-24T00:00:00"/>
    <x v="1"/>
    <x v="2"/>
    <x v="2"/>
    <x v="0"/>
    <x v="3"/>
    <x v="2"/>
    <x v="3"/>
    <x v="1"/>
  </r>
  <r>
    <x v="481"/>
    <x v="15"/>
    <x v="8"/>
    <n v="25.8"/>
    <n v="206.4"/>
    <x v="20"/>
    <d v="2025-01-22T00:00:00"/>
    <x v="1"/>
    <x v="0"/>
    <x v="0"/>
    <x v="0"/>
    <x v="37"/>
    <x v="3"/>
    <x v="3"/>
    <x v="1"/>
  </r>
  <r>
    <x v="482"/>
    <x v="6"/>
    <x v="1"/>
    <n v="94.8"/>
    <n v="189.6"/>
    <x v="21"/>
    <d v="2025-01-25T00:00:00"/>
    <x v="2"/>
    <x v="1"/>
    <x v="1"/>
    <x v="0"/>
    <x v="25"/>
    <x v="2"/>
    <x v="3"/>
    <x v="2"/>
  </r>
  <r>
    <x v="483"/>
    <x v="15"/>
    <x v="30"/>
    <n v="56.8"/>
    <n v="1420"/>
    <x v="21"/>
    <d v="2025-01-25T00:00:00"/>
    <x v="1"/>
    <x v="0"/>
    <x v="0"/>
    <x v="0"/>
    <x v="25"/>
    <x v="2"/>
    <x v="3"/>
    <x v="1"/>
  </r>
  <r>
    <x v="484"/>
    <x v="8"/>
    <x v="27"/>
    <n v="18.3"/>
    <n v="292.8"/>
    <x v="21"/>
    <d v="2025-01-29T00:00:00"/>
    <x v="2"/>
    <x v="2"/>
    <x v="2"/>
    <x v="0"/>
    <x v="23"/>
    <x v="6"/>
    <x v="3"/>
    <x v="2"/>
  </r>
  <r>
    <x v="485"/>
    <x v="0"/>
    <x v="2"/>
    <n v="16.8"/>
    <n v="50.400000000000006"/>
    <x v="21"/>
    <d v="2025-01-27T00:00:00"/>
    <x v="2"/>
    <x v="2"/>
    <x v="2"/>
    <x v="0"/>
    <x v="8"/>
    <x v="0"/>
    <x v="3"/>
    <x v="2"/>
  </r>
  <r>
    <x v="486"/>
    <x v="5"/>
    <x v="5"/>
    <n v="35.799999999999997"/>
    <n v="393.79999999999995"/>
    <x v="21"/>
    <d v="2025-01-23T00:00:00"/>
    <x v="1"/>
    <x v="1"/>
    <x v="0"/>
    <x v="0"/>
    <x v="17"/>
    <x v="3"/>
    <x v="3"/>
    <x v="1"/>
  </r>
  <r>
    <x v="487"/>
    <x v="18"/>
    <x v="0"/>
    <n v="64.900000000000006"/>
    <n v="64.900000000000006"/>
    <x v="21"/>
    <d v="2025-01-23T00:00:00"/>
    <x v="1"/>
    <x v="0"/>
    <x v="1"/>
    <x v="0"/>
    <x v="17"/>
    <x v="3"/>
    <x v="3"/>
    <x v="1"/>
  </r>
  <r>
    <x v="488"/>
    <x v="18"/>
    <x v="0"/>
    <n v="28.5"/>
    <n v="28.5"/>
    <x v="21"/>
    <d v="2025-01-24T00:00:00"/>
    <x v="0"/>
    <x v="1"/>
    <x v="0"/>
    <x v="0"/>
    <x v="9"/>
    <x v="1"/>
    <x v="3"/>
    <x v="0"/>
  </r>
  <r>
    <x v="489"/>
    <x v="18"/>
    <x v="1"/>
    <n v="103.5"/>
    <n v="207"/>
    <x v="21"/>
    <d v="2025-01-24T00:00:00"/>
    <x v="2"/>
    <x v="1"/>
    <x v="0"/>
    <x v="0"/>
    <x v="10"/>
    <x v="1"/>
    <x v="3"/>
    <x v="2"/>
  </r>
  <r>
    <x v="490"/>
    <x v="4"/>
    <x v="1"/>
    <n v="41.2"/>
    <n v="82.4"/>
    <x v="21"/>
    <d v="2025-01-23T00:00:00"/>
    <x v="2"/>
    <x v="1"/>
    <x v="0"/>
    <x v="0"/>
    <x v="10"/>
    <x v="3"/>
    <x v="3"/>
    <x v="2"/>
  </r>
  <r>
    <x v="491"/>
    <x v="9"/>
    <x v="0"/>
    <n v="37.799999999999997"/>
    <n v="37.799999999999997"/>
    <x v="21"/>
    <d v="2025-01-24T00:00:00"/>
    <x v="2"/>
    <x v="3"/>
    <x v="3"/>
    <x v="0"/>
    <x v="11"/>
    <x v="1"/>
    <x v="3"/>
    <x v="2"/>
  </r>
  <r>
    <x v="492"/>
    <x v="8"/>
    <x v="1"/>
    <n v="42.6"/>
    <n v="85.2"/>
    <x v="21"/>
    <d v="2025-01-24T00:00:00"/>
    <x v="2"/>
    <x v="4"/>
    <x v="0"/>
    <x v="0"/>
    <x v="11"/>
    <x v="1"/>
    <x v="3"/>
    <x v="2"/>
  </r>
  <r>
    <x v="493"/>
    <x v="8"/>
    <x v="7"/>
    <n v="15.2"/>
    <n v="152"/>
    <x v="21"/>
    <d v="2025-01-24T00:00:00"/>
    <x v="2"/>
    <x v="2"/>
    <x v="0"/>
    <x v="0"/>
    <x v="11"/>
    <x v="1"/>
    <x v="3"/>
    <x v="2"/>
  </r>
  <r>
    <x v="494"/>
    <x v="7"/>
    <x v="12"/>
    <n v="83.4"/>
    <n v="333.6"/>
    <x v="21"/>
    <d v="2025-01-23T00:00:00"/>
    <x v="2"/>
    <x v="2"/>
    <x v="1"/>
    <x v="0"/>
    <x v="18"/>
    <x v="3"/>
    <x v="3"/>
    <x v="2"/>
  </r>
  <r>
    <x v="495"/>
    <x v="19"/>
    <x v="1"/>
    <n v="27.7"/>
    <n v="55.4"/>
    <x v="21"/>
    <d v="2025-01-23T00:00:00"/>
    <x v="2"/>
    <x v="0"/>
    <x v="1"/>
    <x v="0"/>
    <x v="13"/>
    <x v="3"/>
    <x v="3"/>
    <x v="2"/>
  </r>
  <r>
    <x v="496"/>
    <x v="10"/>
    <x v="4"/>
    <n v="20.8"/>
    <n v="249.60000000000002"/>
    <x v="21"/>
    <d v="2025-01-23T00:00:00"/>
    <x v="1"/>
    <x v="3"/>
    <x v="0"/>
    <x v="0"/>
    <x v="13"/>
    <x v="3"/>
    <x v="3"/>
    <x v="1"/>
  </r>
  <r>
    <x v="497"/>
    <x v="11"/>
    <x v="1"/>
    <n v="72.7"/>
    <n v="145.4"/>
    <x v="21"/>
    <d v="2025-01-26T00:00:00"/>
    <x v="2"/>
    <x v="4"/>
    <x v="2"/>
    <x v="0"/>
    <x v="44"/>
    <x v="5"/>
    <x v="3"/>
    <x v="2"/>
  </r>
  <r>
    <x v="498"/>
    <x v="10"/>
    <x v="12"/>
    <n v="38.6"/>
    <n v="154.4"/>
    <x v="21"/>
    <d v="2025-01-23T00:00:00"/>
    <x v="1"/>
    <x v="0"/>
    <x v="2"/>
    <x v="0"/>
    <x v="22"/>
    <x v="3"/>
    <x v="3"/>
    <x v="1"/>
  </r>
  <r>
    <x v="499"/>
    <x v="8"/>
    <x v="3"/>
    <n v="33.1"/>
    <n v="231.70000000000002"/>
    <x v="21"/>
    <d v="2025-01-23T00:00:00"/>
    <x v="3"/>
    <x v="4"/>
    <x v="3"/>
    <x v="0"/>
    <x v="3"/>
    <x v="3"/>
    <x v="3"/>
    <x v="3"/>
  </r>
  <r>
    <x v="500"/>
    <x v="10"/>
    <x v="1"/>
    <n v="30.5"/>
    <n v="61"/>
    <x v="21"/>
    <d v="2025-01-22T00:00:00"/>
    <x v="0"/>
    <x v="1"/>
    <x v="1"/>
    <x v="0"/>
    <x v="3"/>
    <x v="7"/>
    <x v="3"/>
    <x v="0"/>
  </r>
  <r>
    <x v="501"/>
    <x v="9"/>
    <x v="1"/>
    <n v="69.599999999999994"/>
    <n v="139.19999999999999"/>
    <x v="21"/>
    <d v="2025-01-23T00:00:00"/>
    <x v="1"/>
    <x v="0"/>
    <x v="1"/>
    <x v="0"/>
    <x v="3"/>
    <x v="3"/>
    <x v="3"/>
    <x v="1"/>
  </r>
  <r>
    <x v="502"/>
    <x v="11"/>
    <x v="0"/>
    <n v="42.4"/>
    <n v="42.4"/>
    <x v="21"/>
    <d v="2025-01-26T00:00:00"/>
    <x v="2"/>
    <x v="1"/>
    <x v="0"/>
    <x v="0"/>
    <x v="3"/>
    <x v="5"/>
    <x v="3"/>
    <x v="2"/>
  </r>
  <r>
    <x v="503"/>
    <x v="17"/>
    <x v="0"/>
    <n v="32.200000000000003"/>
    <n v="32.200000000000003"/>
    <x v="21"/>
    <d v="2025-01-25T00:00:00"/>
    <x v="2"/>
    <x v="2"/>
    <x v="1"/>
    <x v="0"/>
    <x v="3"/>
    <x v="2"/>
    <x v="3"/>
    <x v="2"/>
  </r>
  <r>
    <x v="504"/>
    <x v="6"/>
    <x v="1"/>
    <n v="41.5"/>
    <n v="83"/>
    <x v="21"/>
    <d v="2025-01-25T00:00:00"/>
    <x v="2"/>
    <x v="0"/>
    <x v="2"/>
    <x v="0"/>
    <x v="3"/>
    <x v="2"/>
    <x v="3"/>
    <x v="2"/>
  </r>
  <r>
    <x v="505"/>
    <x v="16"/>
    <x v="11"/>
    <n v="58.9"/>
    <n v="530.1"/>
    <x v="21"/>
    <d v="2025-01-26T00:00:00"/>
    <x v="2"/>
    <x v="3"/>
    <x v="0"/>
    <x v="0"/>
    <x v="3"/>
    <x v="5"/>
    <x v="3"/>
    <x v="2"/>
  </r>
  <r>
    <x v="506"/>
    <x v="2"/>
    <x v="0"/>
    <n v="57.1"/>
    <n v="57.1"/>
    <x v="21"/>
    <d v="2025-01-25T00:00:00"/>
    <x v="2"/>
    <x v="1"/>
    <x v="0"/>
    <x v="0"/>
    <x v="3"/>
    <x v="2"/>
    <x v="3"/>
    <x v="2"/>
  </r>
  <r>
    <x v="507"/>
    <x v="6"/>
    <x v="0"/>
    <n v="57.2"/>
    <n v="57.2"/>
    <x v="21"/>
    <d v="2025-01-24T00:00:00"/>
    <x v="1"/>
    <x v="1"/>
    <x v="0"/>
    <x v="0"/>
    <x v="3"/>
    <x v="1"/>
    <x v="3"/>
    <x v="1"/>
  </r>
  <r>
    <x v="508"/>
    <x v="8"/>
    <x v="1"/>
    <n v="35.1"/>
    <n v="70.2"/>
    <x v="21"/>
    <d v="2025-01-23T00:00:00"/>
    <x v="1"/>
    <x v="1"/>
    <x v="0"/>
    <x v="0"/>
    <x v="6"/>
    <x v="3"/>
    <x v="3"/>
    <x v="1"/>
  </r>
  <r>
    <x v="509"/>
    <x v="1"/>
    <x v="0"/>
    <n v="52.1"/>
    <n v="52.1"/>
    <x v="21"/>
    <d v="2025-01-24T00:00:00"/>
    <x v="2"/>
    <x v="4"/>
    <x v="1"/>
    <x v="0"/>
    <x v="8"/>
    <x v="1"/>
    <x v="3"/>
    <x v="2"/>
  </r>
  <r>
    <x v="510"/>
    <x v="13"/>
    <x v="2"/>
    <n v="59.8"/>
    <n v="179.39999999999998"/>
    <x v="21"/>
    <d v="2025-01-24T00:00:00"/>
    <x v="2"/>
    <x v="4"/>
    <x v="1"/>
    <x v="0"/>
    <x v="8"/>
    <x v="1"/>
    <x v="3"/>
    <x v="2"/>
  </r>
  <r>
    <x v="511"/>
    <x v="3"/>
    <x v="12"/>
    <n v="83.3"/>
    <n v="333.2"/>
    <x v="21"/>
    <d v="2025-01-22T00:00:00"/>
    <x v="0"/>
    <x v="2"/>
    <x v="0"/>
    <x v="0"/>
    <x v="8"/>
    <x v="7"/>
    <x v="3"/>
    <x v="0"/>
  </r>
  <r>
    <x v="512"/>
    <x v="15"/>
    <x v="4"/>
    <n v="41.3"/>
    <n v="495.59999999999997"/>
    <x v="21"/>
    <d v="2025-01-23T00:00:00"/>
    <x v="2"/>
    <x v="1"/>
    <x v="0"/>
    <x v="0"/>
    <x v="8"/>
    <x v="3"/>
    <x v="3"/>
    <x v="2"/>
  </r>
  <r>
    <x v="513"/>
    <x v="8"/>
    <x v="9"/>
    <n v="16"/>
    <n v="80"/>
    <x v="21"/>
    <d v="2025-01-24T00:00:00"/>
    <x v="1"/>
    <x v="4"/>
    <x v="1"/>
    <x v="0"/>
    <x v="9"/>
    <x v="1"/>
    <x v="3"/>
    <x v="1"/>
  </r>
  <r>
    <x v="514"/>
    <x v="10"/>
    <x v="1"/>
    <n v="20.8"/>
    <n v="41.6"/>
    <x v="22"/>
    <d v="2025-01-25T00:00:00"/>
    <x v="1"/>
    <x v="0"/>
    <x v="2"/>
    <x v="0"/>
    <x v="11"/>
    <x v="1"/>
    <x v="3"/>
    <x v="1"/>
  </r>
  <r>
    <x v="515"/>
    <x v="8"/>
    <x v="31"/>
    <n v="27.1"/>
    <n v="758.80000000000007"/>
    <x v="22"/>
    <d v="2025-01-24T00:00:00"/>
    <x v="0"/>
    <x v="3"/>
    <x v="2"/>
    <x v="0"/>
    <x v="11"/>
    <x v="3"/>
    <x v="3"/>
    <x v="0"/>
  </r>
  <r>
    <x v="516"/>
    <x v="10"/>
    <x v="1"/>
    <n v="38.9"/>
    <n v="77.8"/>
    <x v="22"/>
    <d v="2025-01-25T00:00:00"/>
    <x v="2"/>
    <x v="0"/>
    <x v="0"/>
    <x v="0"/>
    <x v="18"/>
    <x v="1"/>
    <x v="3"/>
    <x v="2"/>
  </r>
  <r>
    <x v="517"/>
    <x v="0"/>
    <x v="1"/>
    <n v="10.8"/>
    <n v="21.6"/>
    <x v="22"/>
    <d v="2025-01-26T00:00:00"/>
    <x v="2"/>
    <x v="1"/>
    <x v="2"/>
    <x v="0"/>
    <x v="45"/>
    <x v="2"/>
    <x v="3"/>
    <x v="2"/>
  </r>
  <r>
    <x v="518"/>
    <x v="4"/>
    <x v="15"/>
    <n v="48.4"/>
    <n v="629.19999999999993"/>
    <x v="22"/>
    <d v="2025-01-27T00:00:00"/>
    <x v="2"/>
    <x v="0"/>
    <x v="0"/>
    <x v="0"/>
    <x v="21"/>
    <x v="5"/>
    <x v="3"/>
    <x v="2"/>
  </r>
  <r>
    <x v="519"/>
    <x v="4"/>
    <x v="2"/>
    <n v="29.2"/>
    <n v="87.6"/>
    <x v="22"/>
    <d v="2025-01-26T00:00:00"/>
    <x v="2"/>
    <x v="1"/>
    <x v="1"/>
    <x v="0"/>
    <x v="2"/>
    <x v="2"/>
    <x v="3"/>
    <x v="2"/>
  </r>
  <r>
    <x v="520"/>
    <x v="4"/>
    <x v="1"/>
    <n v="25.1"/>
    <n v="50.2"/>
    <x v="22"/>
    <d v="2025-01-24T00:00:00"/>
    <x v="1"/>
    <x v="0"/>
    <x v="1"/>
    <x v="0"/>
    <x v="2"/>
    <x v="3"/>
    <x v="3"/>
    <x v="1"/>
  </r>
  <r>
    <x v="521"/>
    <x v="7"/>
    <x v="2"/>
    <n v="65.599999999999994"/>
    <n v="196.79999999999998"/>
    <x v="22"/>
    <d v="2025-01-23T00:00:00"/>
    <x v="2"/>
    <x v="2"/>
    <x v="1"/>
    <x v="0"/>
    <x v="3"/>
    <x v="7"/>
    <x v="3"/>
    <x v="2"/>
  </r>
  <r>
    <x v="522"/>
    <x v="2"/>
    <x v="1"/>
    <n v="57.3"/>
    <n v="114.6"/>
    <x v="22"/>
    <d v="2025-01-23T00:00:00"/>
    <x v="0"/>
    <x v="0"/>
    <x v="0"/>
    <x v="0"/>
    <x v="3"/>
    <x v="7"/>
    <x v="3"/>
    <x v="0"/>
  </r>
  <r>
    <x v="523"/>
    <x v="9"/>
    <x v="12"/>
    <n v="22.4"/>
    <n v="89.6"/>
    <x v="22"/>
    <d v="2025-01-24T00:00:00"/>
    <x v="2"/>
    <x v="2"/>
    <x v="2"/>
    <x v="0"/>
    <x v="3"/>
    <x v="3"/>
    <x v="3"/>
    <x v="2"/>
  </r>
  <r>
    <x v="524"/>
    <x v="12"/>
    <x v="11"/>
    <n v="45.7"/>
    <n v="411.3"/>
    <x v="22"/>
    <d v="2025-01-24T00:00:00"/>
    <x v="2"/>
    <x v="0"/>
    <x v="0"/>
    <x v="0"/>
    <x v="3"/>
    <x v="3"/>
    <x v="3"/>
    <x v="2"/>
  </r>
  <r>
    <x v="525"/>
    <x v="8"/>
    <x v="1"/>
    <n v="29.3"/>
    <n v="58.6"/>
    <x v="22"/>
    <d v="2025-01-24T00:00:00"/>
    <x v="1"/>
    <x v="1"/>
    <x v="0"/>
    <x v="0"/>
    <x v="3"/>
    <x v="3"/>
    <x v="3"/>
    <x v="1"/>
  </r>
  <r>
    <x v="526"/>
    <x v="18"/>
    <x v="32"/>
    <n v="74"/>
    <n v="1628"/>
    <x v="22"/>
    <d v="2025-01-24T00:00:00"/>
    <x v="1"/>
    <x v="0"/>
    <x v="2"/>
    <x v="0"/>
    <x v="3"/>
    <x v="3"/>
    <x v="3"/>
    <x v="1"/>
  </r>
  <r>
    <x v="527"/>
    <x v="14"/>
    <x v="1"/>
    <n v="39.200000000000003"/>
    <n v="78.400000000000006"/>
    <x v="22"/>
    <d v="2025-01-25T00:00:00"/>
    <x v="2"/>
    <x v="1"/>
    <x v="0"/>
    <x v="0"/>
    <x v="3"/>
    <x v="1"/>
    <x v="3"/>
    <x v="2"/>
  </r>
  <r>
    <x v="528"/>
    <x v="4"/>
    <x v="14"/>
    <n v="62.7"/>
    <n v="1065.9000000000001"/>
    <x v="22"/>
    <d v="2025-01-24T00:00:00"/>
    <x v="2"/>
    <x v="2"/>
    <x v="1"/>
    <x v="0"/>
    <x v="3"/>
    <x v="3"/>
    <x v="3"/>
    <x v="2"/>
  </r>
  <r>
    <x v="529"/>
    <x v="10"/>
    <x v="1"/>
    <n v="60.1"/>
    <n v="120.2"/>
    <x v="22"/>
    <d v="2025-01-24T00:00:00"/>
    <x v="2"/>
    <x v="3"/>
    <x v="0"/>
    <x v="0"/>
    <x v="3"/>
    <x v="3"/>
    <x v="3"/>
    <x v="2"/>
  </r>
  <r>
    <x v="530"/>
    <x v="0"/>
    <x v="12"/>
    <n v="11.2"/>
    <n v="44.8"/>
    <x v="22"/>
    <d v="2025-01-24T00:00:00"/>
    <x v="2"/>
    <x v="3"/>
    <x v="1"/>
    <x v="0"/>
    <x v="3"/>
    <x v="3"/>
    <x v="3"/>
    <x v="2"/>
  </r>
  <r>
    <x v="531"/>
    <x v="8"/>
    <x v="1"/>
    <n v="22.9"/>
    <n v="45.8"/>
    <x v="22"/>
    <d v="2025-01-24T00:00:00"/>
    <x v="2"/>
    <x v="0"/>
    <x v="0"/>
    <x v="0"/>
    <x v="6"/>
    <x v="3"/>
    <x v="3"/>
    <x v="2"/>
  </r>
  <r>
    <x v="532"/>
    <x v="1"/>
    <x v="1"/>
    <n v="37.6"/>
    <n v="75.2"/>
    <x v="22"/>
    <d v="2025-01-26T00:00:00"/>
    <x v="2"/>
    <x v="0"/>
    <x v="0"/>
    <x v="0"/>
    <x v="6"/>
    <x v="2"/>
    <x v="3"/>
    <x v="2"/>
  </r>
  <r>
    <x v="533"/>
    <x v="6"/>
    <x v="0"/>
    <n v="42.4"/>
    <n v="42.4"/>
    <x v="22"/>
    <d v="2025-01-24T00:00:00"/>
    <x v="2"/>
    <x v="3"/>
    <x v="2"/>
    <x v="0"/>
    <x v="6"/>
    <x v="3"/>
    <x v="3"/>
    <x v="2"/>
  </r>
  <r>
    <x v="534"/>
    <x v="8"/>
    <x v="1"/>
    <n v="19.600000000000001"/>
    <n v="39.200000000000003"/>
    <x v="22"/>
    <d v="2025-01-27T00:00:00"/>
    <x v="2"/>
    <x v="2"/>
    <x v="0"/>
    <x v="0"/>
    <x v="7"/>
    <x v="5"/>
    <x v="3"/>
    <x v="2"/>
  </r>
  <r>
    <x v="535"/>
    <x v="9"/>
    <x v="0"/>
    <n v="90.5"/>
    <n v="90.5"/>
    <x v="22"/>
    <d v="2025-01-26T00:00:00"/>
    <x v="2"/>
    <x v="2"/>
    <x v="0"/>
    <x v="0"/>
    <x v="7"/>
    <x v="2"/>
    <x v="3"/>
    <x v="2"/>
  </r>
  <r>
    <x v="536"/>
    <x v="16"/>
    <x v="5"/>
    <n v="33.9"/>
    <n v="372.9"/>
    <x v="22"/>
    <d v="2025-01-24T00:00:00"/>
    <x v="1"/>
    <x v="2"/>
    <x v="1"/>
    <x v="0"/>
    <x v="7"/>
    <x v="3"/>
    <x v="3"/>
    <x v="1"/>
  </r>
  <r>
    <x v="537"/>
    <x v="0"/>
    <x v="1"/>
    <n v="32.799999999999997"/>
    <n v="65.599999999999994"/>
    <x v="22"/>
    <d v="2025-01-25T00:00:00"/>
    <x v="2"/>
    <x v="4"/>
    <x v="4"/>
    <x v="0"/>
    <x v="8"/>
    <x v="1"/>
    <x v="3"/>
    <x v="2"/>
  </r>
  <r>
    <x v="538"/>
    <x v="15"/>
    <x v="0"/>
    <n v="49.9"/>
    <n v="49.9"/>
    <x v="22"/>
    <d v="2025-01-24T00:00:00"/>
    <x v="1"/>
    <x v="3"/>
    <x v="1"/>
    <x v="0"/>
    <x v="8"/>
    <x v="3"/>
    <x v="3"/>
    <x v="1"/>
  </r>
  <r>
    <x v="539"/>
    <x v="7"/>
    <x v="9"/>
    <n v="79.2"/>
    <n v="396"/>
    <x v="22"/>
    <d v="2025-01-24T00:00:00"/>
    <x v="2"/>
    <x v="4"/>
    <x v="0"/>
    <x v="0"/>
    <x v="8"/>
    <x v="3"/>
    <x v="3"/>
    <x v="2"/>
  </r>
  <r>
    <x v="540"/>
    <x v="8"/>
    <x v="27"/>
    <n v="19.5"/>
    <n v="312"/>
    <x v="22"/>
    <d v="2025-01-25T00:00:00"/>
    <x v="1"/>
    <x v="3"/>
    <x v="2"/>
    <x v="0"/>
    <x v="8"/>
    <x v="1"/>
    <x v="3"/>
    <x v="1"/>
  </r>
  <r>
    <x v="541"/>
    <x v="8"/>
    <x v="12"/>
    <n v="18"/>
    <n v="72"/>
    <x v="22"/>
    <d v="2025-01-24T00:00:00"/>
    <x v="1"/>
    <x v="1"/>
    <x v="0"/>
    <x v="0"/>
    <x v="10"/>
    <x v="3"/>
    <x v="3"/>
    <x v="1"/>
  </r>
  <r>
    <x v="542"/>
    <x v="9"/>
    <x v="2"/>
    <n v="45.9"/>
    <n v="137.69999999999999"/>
    <x v="22"/>
    <d v="2025-01-25T00:00:00"/>
    <x v="2"/>
    <x v="1"/>
    <x v="1"/>
    <x v="0"/>
    <x v="10"/>
    <x v="1"/>
    <x v="3"/>
    <x v="2"/>
  </r>
  <r>
    <x v="543"/>
    <x v="11"/>
    <x v="0"/>
    <n v="41.2"/>
    <n v="41.2"/>
    <x v="22"/>
    <d v="2025-01-25T00:00:00"/>
    <x v="2"/>
    <x v="1"/>
    <x v="2"/>
    <x v="0"/>
    <x v="11"/>
    <x v="1"/>
    <x v="3"/>
    <x v="2"/>
  </r>
  <r>
    <x v="544"/>
    <x v="2"/>
    <x v="7"/>
    <n v="167.2"/>
    <n v="1672"/>
    <x v="22"/>
    <d v="2025-01-25T00:00:00"/>
    <x v="2"/>
    <x v="2"/>
    <x v="2"/>
    <x v="0"/>
    <x v="32"/>
    <x v="1"/>
    <x v="3"/>
    <x v="2"/>
  </r>
  <r>
    <x v="545"/>
    <x v="6"/>
    <x v="17"/>
    <n v="74.5"/>
    <n v="2235"/>
    <x v="23"/>
    <d v="2025-01-27T00:00:00"/>
    <x v="2"/>
    <x v="1"/>
    <x v="2"/>
    <x v="0"/>
    <x v="38"/>
    <x v="2"/>
    <x v="3"/>
    <x v="2"/>
  </r>
  <r>
    <x v="546"/>
    <x v="7"/>
    <x v="12"/>
    <n v="39.299999999999997"/>
    <n v="157.19999999999999"/>
    <x v="23"/>
    <d v="2025-01-25T00:00:00"/>
    <x v="0"/>
    <x v="2"/>
    <x v="0"/>
    <x v="0"/>
    <x v="19"/>
    <x v="3"/>
    <x v="3"/>
    <x v="0"/>
  </r>
  <r>
    <x v="547"/>
    <x v="9"/>
    <x v="0"/>
    <n v="68.5"/>
    <n v="68.5"/>
    <x v="23"/>
    <d v="2025-01-27T00:00:00"/>
    <x v="1"/>
    <x v="1"/>
    <x v="2"/>
    <x v="0"/>
    <x v="12"/>
    <x v="2"/>
    <x v="3"/>
    <x v="1"/>
  </r>
  <r>
    <x v="548"/>
    <x v="0"/>
    <x v="2"/>
    <n v="22.5"/>
    <n v="67.5"/>
    <x v="23"/>
    <d v="2025-01-24T00:00:00"/>
    <x v="2"/>
    <x v="4"/>
    <x v="0"/>
    <x v="0"/>
    <x v="13"/>
    <x v="7"/>
    <x v="3"/>
    <x v="2"/>
  </r>
  <r>
    <x v="549"/>
    <x v="1"/>
    <x v="0"/>
    <n v="48"/>
    <n v="48"/>
    <x v="23"/>
    <d v="2025-01-25T00:00:00"/>
    <x v="3"/>
    <x v="4"/>
    <x v="1"/>
    <x v="0"/>
    <x v="46"/>
    <x v="3"/>
    <x v="3"/>
    <x v="3"/>
  </r>
  <r>
    <x v="550"/>
    <x v="6"/>
    <x v="0"/>
    <n v="94"/>
    <n v="94"/>
    <x v="23"/>
    <d v="2025-01-25T00:00:00"/>
    <x v="1"/>
    <x v="3"/>
    <x v="1"/>
    <x v="0"/>
    <x v="1"/>
    <x v="3"/>
    <x v="3"/>
    <x v="1"/>
  </r>
  <r>
    <x v="551"/>
    <x v="8"/>
    <x v="2"/>
    <n v="21.9"/>
    <n v="65.699999999999989"/>
    <x v="23"/>
    <d v="2025-01-25T00:00:00"/>
    <x v="2"/>
    <x v="0"/>
    <x v="0"/>
    <x v="0"/>
    <x v="44"/>
    <x v="3"/>
    <x v="3"/>
    <x v="2"/>
  </r>
  <r>
    <x v="552"/>
    <x v="6"/>
    <x v="3"/>
    <n v="64.900000000000006"/>
    <n v="454.30000000000007"/>
    <x v="23"/>
    <d v="2025-01-25T00:00:00"/>
    <x v="2"/>
    <x v="0"/>
    <x v="0"/>
    <x v="0"/>
    <x v="3"/>
    <x v="3"/>
    <x v="3"/>
    <x v="2"/>
  </r>
  <r>
    <x v="553"/>
    <x v="12"/>
    <x v="0"/>
    <n v="52.9"/>
    <n v="52.9"/>
    <x v="23"/>
    <d v="2025-01-24T00:00:00"/>
    <x v="2"/>
    <x v="1"/>
    <x v="1"/>
    <x v="0"/>
    <x v="3"/>
    <x v="7"/>
    <x v="3"/>
    <x v="2"/>
  </r>
  <r>
    <x v="554"/>
    <x v="8"/>
    <x v="2"/>
    <n v="25.5"/>
    <n v="76.5"/>
    <x v="23"/>
    <d v="2025-01-25T00:00:00"/>
    <x v="2"/>
    <x v="1"/>
    <x v="2"/>
    <x v="0"/>
    <x v="3"/>
    <x v="3"/>
    <x v="3"/>
    <x v="2"/>
  </r>
  <r>
    <x v="555"/>
    <x v="6"/>
    <x v="2"/>
    <n v="51.9"/>
    <n v="155.69999999999999"/>
    <x v="23"/>
    <d v="2025-01-25T00:00:00"/>
    <x v="2"/>
    <x v="3"/>
    <x v="0"/>
    <x v="0"/>
    <x v="3"/>
    <x v="3"/>
    <x v="3"/>
    <x v="2"/>
  </r>
  <r>
    <x v="556"/>
    <x v="5"/>
    <x v="0"/>
    <n v="46.3"/>
    <n v="46.3"/>
    <x v="23"/>
    <d v="2025-01-27T00:00:00"/>
    <x v="2"/>
    <x v="4"/>
    <x v="0"/>
    <x v="0"/>
    <x v="3"/>
    <x v="2"/>
    <x v="3"/>
    <x v="2"/>
  </r>
  <r>
    <x v="557"/>
    <x v="6"/>
    <x v="1"/>
    <n v="68.2"/>
    <n v="136.4"/>
    <x v="23"/>
    <d v="2025-01-26T00:00:00"/>
    <x v="2"/>
    <x v="3"/>
    <x v="0"/>
    <x v="0"/>
    <x v="3"/>
    <x v="1"/>
    <x v="3"/>
    <x v="2"/>
  </r>
  <r>
    <x v="558"/>
    <x v="1"/>
    <x v="0"/>
    <n v="40.299999999999997"/>
    <n v="40.299999999999997"/>
    <x v="23"/>
    <d v="2025-01-25T00:00:00"/>
    <x v="1"/>
    <x v="0"/>
    <x v="1"/>
    <x v="0"/>
    <x v="3"/>
    <x v="3"/>
    <x v="3"/>
    <x v="1"/>
  </r>
  <r>
    <x v="559"/>
    <x v="2"/>
    <x v="2"/>
    <n v="91.3"/>
    <n v="273.89999999999998"/>
    <x v="23"/>
    <d v="2025-01-29T00:00:00"/>
    <x v="1"/>
    <x v="0"/>
    <x v="2"/>
    <x v="0"/>
    <x v="6"/>
    <x v="0"/>
    <x v="3"/>
    <x v="1"/>
  </r>
  <r>
    <x v="560"/>
    <x v="0"/>
    <x v="2"/>
    <n v="11.9"/>
    <n v="35.700000000000003"/>
    <x v="23"/>
    <d v="2025-01-25T00:00:00"/>
    <x v="2"/>
    <x v="0"/>
    <x v="1"/>
    <x v="0"/>
    <x v="6"/>
    <x v="3"/>
    <x v="3"/>
    <x v="2"/>
  </r>
  <r>
    <x v="561"/>
    <x v="2"/>
    <x v="1"/>
    <n v="63.5"/>
    <n v="127"/>
    <x v="23"/>
    <d v="2025-01-26T00:00:00"/>
    <x v="1"/>
    <x v="1"/>
    <x v="0"/>
    <x v="0"/>
    <x v="6"/>
    <x v="1"/>
    <x v="3"/>
    <x v="1"/>
  </r>
  <r>
    <x v="562"/>
    <x v="4"/>
    <x v="1"/>
    <n v="27.1"/>
    <n v="54.2"/>
    <x v="23"/>
    <d v="2025-01-27T00:00:00"/>
    <x v="1"/>
    <x v="2"/>
    <x v="2"/>
    <x v="0"/>
    <x v="6"/>
    <x v="2"/>
    <x v="3"/>
    <x v="1"/>
  </r>
  <r>
    <x v="563"/>
    <x v="1"/>
    <x v="1"/>
    <n v="82.1"/>
    <n v="164.2"/>
    <x v="24"/>
    <d v="2025-01-28T00:00:00"/>
    <x v="1"/>
    <x v="1"/>
    <x v="1"/>
    <x v="0"/>
    <x v="7"/>
    <x v="2"/>
    <x v="3"/>
    <x v="1"/>
  </r>
  <r>
    <x v="564"/>
    <x v="3"/>
    <x v="9"/>
    <n v="42.9"/>
    <n v="214.5"/>
    <x v="24"/>
    <d v="2025-01-27T00:00:00"/>
    <x v="2"/>
    <x v="1"/>
    <x v="0"/>
    <x v="0"/>
    <x v="8"/>
    <x v="1"/>
    <x v="3"/>
    <x v="2"/>
  </r>
  <r>
    <x v="565"/>
    <x v="8"/>
    <x v="5"/>
    <n v="37.9"/>
    <n v="416.9"/>
    <x v="24"/>
    <d v="2025-02-01T00:00:00"/>
    <x v="1"/>
    <x v="0"/>
    <x v="0"/>
    <x v="0"/>
    <x v="8"/>
    <x v="6"/>
    <x v="3"/>
    <x v="1"/>
  </r>
  <r>
    <x v="566"/>
    <x v="0"/>
    <x v="0"/>
    <n v="22.4"/>
    <n v="22.4"/>
    <x v="24"/>
    <d v="2025-01-26T00:00:00"/>
    <x v="2"/>
    <x v="0"/>
    <x v="1"/>
    <x v="0"/>
    <x v="17"/>
    <x v="3"/>
    <x v="3"/>
    <x v="2"/>
  </r>
  <r>
    <x v="567"/>
    <x v="2"/>
    <x v="15"/>
    <n v="79.900000000000006"/>
    <n v="1038.7"/>
    <x v="24"/>
    <d v="2025-02-07T00:00:00"/>
    <x v="2"/>
    <x v="3"/>
    <x v="1"/>
    <x v="0"/>
    <x v="11"/>
    <x v="10"/>
    <x v="3"/>
    <x v="2"/>
  </r>
  <r>
    <x v="568"/>
    <x v="1"/>
    <x v="0"/>
    <n v="70.599999999999994"/>
    <n v="70.599999999999994"/>
    <x v="24"/>
    <d v="2025-01-28T00:00:00"/>
    <x v="2"/>
    <x v="0"/>
    <x v="1"/>
    <x v="0"/>
    <x v="11"/>
    <x v="2"/>
    <x v="3"/>
    <x v="2"/>
  </r>
  <r>
    <x v="569"/>
    <x v="6"/>
    <x v="0"/>
    <n v="49.5"/>
    <n v="49.5"/>
    <x v="24"/>
    <d v="2025-01-27T00:00:00"/>
    <x v="1"/>
    <x v="0"/>
    <x v="0"/>
    <x v="0"/>
    <x v="13"/>
    <x v="1"/>
    <x v="3"/>
    <x v="1"/>
  </r>
  <r>
    <x v="570"/>
    <x v="2"/>
    <x v="1"/>
    <n v="96.6"/>
    <n v="193.2"/>
    <x v="24"/>
    <d v="2025-01-27T00:00:00"/>
    <x v="1"/>
    <x v="0"/>
    <x v="0"/>
    <x v="0"/>
    <x v="21"/>
    <x v="1"/>
    <x v="3"/>
    <x v="1"/>
  </r>
  <r>
    <x v="571"/>
    <x v="6"/>
    <x v="1"/>
    <n v="52.8"/>
    <n v="105.6"/>
    <x v="24"/>
    <d v="2025-01-26T00:00:00"/>
    <x v="2"/>
    <x v="1"/>
    <x v="1"/>
    <x v="0"/>
    <x v="21"/>
    <x v="3"/>
    <x v="3"/>
    <x v="2"/>
  </r>
  <r>
    <x v="572"/>
    <x v="2"/>
    <x v="0"/>
    <n v="101.7"/>
    <n v="101.7"/>
    <x v="24"/>
    <d v="2025-01-26T00:00:00"/>
    <x v="1"/>
    <x v="0"/>
    <x v="0"/>
    <x v="0"/>
    <x v="1"/>
    <x v="3"/>
    <x v="3"/>
    <x v="1"/>
  </r>
  <r>
    <x v="573"/>
    <x v="4"/>
    <x v="9"/>
    <n v="26.9"/>
    <n v="134.5"/>
    <x v="24"/>
    <d v="2025-01-30T00:00:00"/>
    <x v="2"/>
    <x v="1"/>
    <x v="1"/>
    <x v="0"/>
    <x v="22"/>
    <x v="0"/>
    <x v="3"/>
    <x v="2"/>
  </r>
  <r>
    <x v="574"/>
    <x v="2"/>
    <x v="12"/>
    <n v="211"/>
    <n v="844"/>
    <x v="24"/>
    <d v="2025-01-25T00:00:00"/>
    <x v="2"/>
    <x v="1"/>
    <x v="1"/>
    <x v="0"/>
    <x v="3"/>
    <x v="7"/>
    <x v="3"/>
    <x v="2"/>
  </r>
  <r>
    <x v="575"/>
    <x v="0"/>
    <x v="12"/>
    <n v="21.1"/>
    <n v="84.4"/>
    <x v="24"/>
    <d v="2025-01-28T00:00:00"/>
    <x v="1"/>
    <x v="4"/>
    <x v="0"/>
    <x v="0"/>
    <x v="3"/>
    <x v="2"/>
    <x v="3"/>
    <x v="1"/>
  </r>
  <r>
    <x v="576"/>
    <x v="10"/>
    <x v="0"/>
    <n v="26.6"/>
    <n v="26.6"/>
    <x v="24"/>
    <d v="2025-01-27T00:00:00"/>
    <x v="1"/>
    <x v="0"/>
    <x v="4"/>
    <x v="0"/>
    <x v="3"/>
    <x v="1"/>
    <x v="3"/>
    <x v="1"/>
  </r>
  <r>
    <x v="577"/>
    <x v="12"/>
    <x v="12"/>
    <n v="51.2"/>
    <n v="204.8"/>
    <x v="24"/>
    <d v="2025-01-26T00:00:00"/>
    <x v="2"/>
    <x v="3"/>
    <x v="0"/>
    <x v="0"/>
    <x v="47"/>
    <x v="3"/>
    <x v="3"/>
    <x v="2"/>
  </r>
  <r>
    <x v="578"/>
    <x v="0"/>
    <x v="9"/>
    <n v="10.6"/>
    <n v="53"/>
    <x v="24"/>
    <d v="2025-01-29T00:00:00"/>
    <x v="2"/>
    <x v="0"/>
    <x v="0"/>
    <x v="0"/>
    <x v="8"/>
    <x v="5"/>
    <x v="3"/>
    <x v="2"/>
  </r>
  <r>
    <x v="579"/>
    <x v="6"/>
    <x v="2"/>
    <n v="43.4"/>
    <n v="130.19999999999999"/>
    <x v="24"/>
    <d v="2025-01-28T00:00:00"/>
    <x v="2"/>
    <x v="4"/>
    <x v="0"/>
    <x v="0"/>
    <x v="8"/>
    <x v="2"/>
    <x v="3"/>
    <x v="2"/>
  </r>
  <r>
    <x v="580"/>
    <x v="12"/>
    <x v="0"/>
    <n v="80"/>
    <n v="80"/>
    <x v="24"/>
    <d v="2025-01-25T00:00:00"/>
    <x v="2"/>
    <x v="0"/>
    <x v="2"/>
    <x v="0"/>
    <x v="8"/>
    <x v="7"/>
    <x v="3"/>
    <x v="2"/>
  </r>
  <r>
    <x v="581"/>
    <x v="10"/>
    <x v="12"/>
    <n v="64.7"/>
    <n v="258.8"/>
    <x v="24"/>
    <d v="2025-01-27T00:00:00"/>
    <x v="2"/>
    <x v="1"/>
    <x v="4"/>
    <x v="0"/>
    <x v="8"/>
    <x v="1"/>
    <x v="3"/>
    <x v="2"/>
  </r>
  <r>
    <x v="582"/>
    <x v="8"/>
    <x v="5"/>
    <n v="26.3"/>
    <n v="289.3"/>
    <x v="25"/>
    <d v="2025-01-26T00:00:00"/>
    <x v="2"/>
    <x v="4"/>
    <x v="1"/>
    <x v="0"/>
    <x v="26"/>
    <x v="7"/>
    <x v="4"/>
    <x v="2"/>
  </r>
  <r>
    <x v="583"/>
    <x v="10"/>
    <x v="0"/>
    <n v="28.5"/>
    <n v="28.5"/>
    <x v="25"/>
    <d v="2025-01-26T00:00:00"/>
    <x v="1"/>
    <x v="0"/>
    <x v="1"/>
    <x v="0"/>
    <x v="9"/>
    <x v="7"/>
    <x v="4"/>
    <x v="1"/>
  </r>
  <r>
    <x v="584"/>
    <x v="17"/>
    <x v="0"/>
    <n v="47.8"/>
    <n v="47.8"/>
    <x v="25"/>
    <d v="2025-01-28T00:00:00"/>
    <x v="2"/>
    <x v="0"/>
    <x v="1"/>
    <x v="0"/>
    <x v="9"/>
    <x v="1"/>
    <x v="4"/>
    <x v="2"/>
  </r>
  <r>
    <x v="585"/>
    <x v="10"/>
    <x v="2"/>
    <n v="42.8"/>
    <n v="128.39999999999998"/>
    <x v="25"/>
    <d v="2025-01-29T00:00:00"/>
    <x v="2"/>
    <x v="4"/>
    <x v="1"/>
    <x v="0"/>
    <x v="11"/>
    <x v="2"/>
    <x v="4"/>
    <x v="2"/>
  </r>
  <r>
    <x v="586"/>
    <x v="6"/>
    <x v="9"/>
    <n v="46.8"/>
    <n v="234"/>
    <x v="25"/>
    <d v="2025-01-31T00:00:00"/>
    <x v="2"/>
    <x v="1"/>
    <x v="2"/>
    <x v="0"/>
    <x v="11"/>
    <x v="0"/>
    <x v="4"/>
    <x v="2"/>
  </r>
  <r>
    <x v="587"/>
    <x v="1"/>
    <x v="7"/>
    <n v="64.099999999999994"/>
    <n v="641"/>
    <x v="25"/>
    <d v="2025-01-27T00:00:00"/>
    <x v="1"/>
    <x v="1"/>
    <x v="0"/>
    <x v="0"/>
    <x v="11"/>
    <x v="3"/>
    <x v="4"/>
    <x v="1"/>
  </r>
  <r>
    <x v="588"/>
    <x v="2"/>
    <x v="0"/>
    <n v="89.1"/>
    <n v="89.1"/>
    <x v="25"/>
    <d v="2025-01-27T00:00:00"/>
    <x v="2"/>
    <x v="0"/>
    <x v="1"/>
    <x v="0"/>
    <x v="20"/>
    <x v="3"/>
    <x v="4"/>
    <x v="2"/>
  </r>
  <r>
    <x v="589"/>
    <x v="2"/>
    <x v="2"/>
    <n v="83.1"/>
    <n v="249.29999999999998"/>
    <x v="25"/>
    <d v="2025-01-27T00:00:00"/>
    <x v="2"/>
    <x v="2"/>
    <x v="1"/>
    <x v="0"/>
    <x v="13"/>
    <x v="3"/>
    <x v="4"/>
    <x v="2"/>
  </r>
  <r>
    <x v="590"/>
    <x v="8"/>
    <x v="2"/>
    <n v="40.9"/>
    <n v="122.69999999999999"/>
    <x v="25"/>
    <d v="2025-01-27T00:00:00"/>
    <x v="1"/>
    <x v="0"/>
    <x v="0"/>
    <x v="0"/>
    <x v="1"/>
    <x v="3"/>
    <x v="4"/>
    <x v="1"/>
  </r>
  <r>
    <x v="591"/>
    <x v="2"/>
    <x v="1"/>
    <n v="125.7"/>
    <n v="251.4"/>
    <x v="25"/>
    <d v="2025-01-27T00:00:00"/>
    <x v="2"/>
    <x v="3"/>
    <x v="0"/>
    <x v="0"/>
    <x v="2"/>
    <x v="3"/>
    <x v="4"/>
    <x v="2"/>
  </r>
  <r>
    <x v="592"/>
    <x v="3"/>
    <x v="1"/>
    <n v="30.9"/>
    <n v="61.8"/>
    <x v="25"/>
    <d v="2025-01-26T00:00:00"/>
    <x v="2"/>
    <x v="2"/>
    <x v="2"/>
    <x v="0"/>
    <x v="22"/>
    <x v="7"/>
    <x v="4"/>
    <x v="2"/>
  </r>
  <r>
    <x v="593"/>
    <x v="8"/>
    <x v="1"/>
    <n v="18.3"/>
    <n v="36.6"/>
    <x v="25"/>
    <d v="2025-01-27T00:00:00"/>
    <x v="2"/>
    <x v="1"/>
    <x v="0"/>
    <x v="0"/>
    <x v="3"/>
    <x v="3"/>
    <x v="4"/>
    <x v="2"/>
  </r>
  <r>
    <x v="594"/>
    <x v="4"/>
    <x v="1"/>
    <n v="56.5"/>
    <n v="113"/>
    <x v="25"/>
    <d v="2025-01-30T00:00:00"/>
    <x v="1"/>
    <x v="2"/>
    <x v="2"/>
    <x v="0"/>
    <x v="3"/>
    <x v="5"/>
    <x v="4"/>
    <x v="1"/>
  </r>
  <r>
    <x v="595"/>
    <x v="10"/>
    <x v="3"/>
    <n v="29.9"/>
    <n v="209.29999999999998"/>
    <x v="25"/>
    <d v="2025-01-28T00:00:00"/>
    <x v="1"/>
    <x v="4"/>
    <x v="2"/>
    <x v="0"/>
    <x v="3"/>
    <x v="1"/>
    <x v="4"/>
    <x v="1"/>
  </r>
  <r>
    <x v="596"/>
    <x v="5"/>
    <x v="1"/>
    <n v="50.4"/>
    <n v="100.8"/>
    <x v="25"/>
    <d v="2025-01-27T00:00:00"/>
    <x v="2"/>
    <x v="2"/>
    <x v="0"/>
    <x v="0"/>
    <x v="3"/>
    <x v="3"/>
    <x v="4"/>
    <x v="2"/>
  </r>
  <r>
    <x v="597"/>
    <x v="2"/>
    <x v="0"/>
    <n v="85.8"/>
    <n v="85.8"/>
    <x v="25"/>
    <d v="2025-01-26T00:00:00"/>
    <x v="2"/>
    <x v="2"/>
    <x v="2"/>
    <x v="0"/>
    <x v="3"/>
    <x v="7"/>
    <x v="4"/>
    <x v="2"/>
  </r>
  <r>
    <x v="598"/>
    <x v="4"/>
    <x v="27"/>
    <n v="66.599999999999994"/>
    <n v="1065.5999999999999"/>
    <x v="25"/>
    <d v="2025-01-28T00:00:00"/>
    <x v="1"/>
    <x v="1"/>
    <x v="0"/>
    <x v="0"/>
    <x v="3"/>
    <x v="1"/>
    <x v="4"/>
    <x v="1"/>
  </r>
  <r>
    <x v="599"/>
    <x v="6"/>
    <x v="12"/>
    <n v="70.3"/>
    <n v="281.2"/>
    <x v="25"/>
    <d v="2025-01-27T00:00:00"/>
    <x v="2"/>
    <x v="0"/>
    <x v="1"/>
    <x v="0"/>
    <x v="3"/>
    <x v="3"/>
    <x v="4"/>
    <x v="2"/>
  </r>
  <r>
    <x v="600"/>
    <x v="8"/>
    <x v="12"/>
    <n v="31"/>
    <n v="124"/>
    <x v="25"/>
    <d v="2025-01-29T00:00:00"/>
    <x v="1"/>
    <x v="0"/>
    <x v="2"/>
    <x v="0"/>
    <x v="3"/>
    <x v="2"/>
    <x v="4"/>
    <x v="1"/>
  </r>
  <r>
    <x v="601"/>
    <x v="7"/>
    <x v="13"/>
    <n v="81.599999999999994"/>
    <n v="489.59999999999997"/>
    <x v="25"/>
    <d v="2025-01-27T00:00:00"/>
    <x v="2"/>
    <x v="1"/>
    <x v="1"/>
    <x v="0"/>
    <x v="37"/>
    <x v="3"/>
    <x v="4"/>
    <x v="2"/>
  </r>
  <r>
    <x v="602"/>
    <x v="1"/>
    <x v="30"/>
    <n v="58.3"/>
    <n v="1457.5"/>
    <x v="25"/>
    <d v="2025-01-27T00:00:00"/>
    <x v="2"/>
    <x v="0"/>
    <x v="0"/>
    <x v="0"/>
    <x v="16"/>
    <x v="3"/>
    <x v="4"/>
    <x v="2"/>
  </r>
  <r>
    <x v="603"/>
    <x v="1"/>
    <x v="12"/>
    <n v="35.1"/>
    <n v="140.4"/>
    <x v="25"/>
    <d v="2025-01-28T00:00:00"/>
    <x v="1"/>
    <x v="0"/>
    <x v="2"/>
    <x v="0"/>
    <x v="8"/>
    <x v="1"/>
    <x v="4"/>
    <x v="1"/>
  </r>
  <r>
    <x v="604"/>
    <x v="2"/>
    <x v="0"/>
    <n v="80.2"/>
    <n v="80.2"/>
    <x v="25"/>
    <d v="2025-01-27T00:00:00"/>
    <x v="1"/>
    <x v="3"/>
    <x v="2"/>
    <x v="0"/>
    <x v="8"/>
    <x v="3"/>
    <x v="4"/>
    <x v="1"/>
  </r>
  <r>
    <x v="605"/>
    <x v="14"/>
    <x v="2"/>
    <n v="39.200000000000003"/>
    <n v="117.60000000000001"/>
    <x v="25"/>
    <d v="2025-01-28T00:00:00"/>
    <x v="2"/>
    <x v="1"/>
    <x v="0"/>
    <x v="0"/>
    <x v="9"/>
    <x v="1"/>
    <x v="4"/>
    <x v="2"/>
  </r>
  <r>
    <x v="606"/>
    <x v="0"/>
    <x v="1"/>
    <n v="15.4"/>
    <n v="30.8"/>
    <x v="25"/>
    <d v="2025-01-26T00:00:00"/>
    <x v="2"/>
    <x v="3"/>
    <x v="0"/>
    <x v="0"/>
    <x v="48"/>
    <x v="7"/>
    <x v="4"/>
    <x v="2"/>
  </r>
  <r>
    <x v="607"/>
    <x v="3"/>
    <x v="2"/>
    <n v="65.400000000000006"/>
    <n v="196.20000000000002"/>
    <x v="25"/>
    <d v="2025-01-29T00:00:00"/>
    <x v="1"/>
    <x v="3"/>
    <x v="0"/>
    <x v="0"/>
    <x v="18"/>
    <x v="2"/>
    <x v="4"/>
    <x v="1"/>
  </r>
  <r>
    <x v="608"/>
    <x v="1"/>
    <x v="8"/>
    <n v="63.2"/>
    <n v="505.6"/>
    <x v="25"/>
    <d v="2025-01-28T00:00:00"/>
    <x v="2"/>
    <x v="1"/>
    <x v="0"/>
    <x v="0"/>
    <x v="19"/>
    <x v="1"/>
    <x v="4"/>
    <x v="2"/>
  </r>
  <r>
    <x v="609"/>
    <x v="1"/>
    <x v="13"/>
    <n v="35.700000000000003"/>
    <n v="214.20000000000002"/>
    <x v="25"/>
    <d v="2025-01-30T00:00:00"/>
    <x v="2"/>
    <x v="4"/>
    <x v="1"/>
    <x v="0"/>
    <x v="19"/>
    <x v="5"/>
    <x v="4"/>
    <x v="2"/>
  </r>
  <r>
    <x v="610"/>
    <x v="0"/>
    <x v="28"/>
    <n v="26.2"/>
    <n v="524"/>
    <x v="25"/>
    <d v="2025-01-27T00:00:00"/>
    <x v="2"/>
    <x v="3"/>
    <x v="0"/>
    <x v="0"/>
    <x v="21"/>
    <x v="3"/>
    <x v="4"/>
    <x v="2"/>
  </r>
  <r>
    <x v="611"/>
    <x v="7"/>
    <x v="1"/>
    <n v="31"/>
    <n v="62"/>
    <x v="25"/>
    <d v="2025-01-27T00:00:00"/>
    <x v="2"/>
    <x v="0"/>
    <x v="2"/>
    <x v="0"/>
    <x v="1"/>
    <x v="3"/>
    <x v="4"/>
    <x v="2"/>
  </r>
  <r>
    <x v="612"/>
    <x v="8"/>
    <x v="12"/>
    <n v="37.700000000000003"/>
    <n v="150.80000000000001"/>
    <x v="25"/>
    <d v="2025-01-27T00:00:00"/>
    <x v="2"/>
    <x v="1"/>
    <x v="0"/>
    <x v="0"/>
    <x v="22"/>
    <x v="3"/>
    <x v="4"/>
    <x v="2"/>
  </r>
  <r>
    <x v="613"/>
    <x v="10"/>
    <x v="33"/>
    <n v="43.6"/>
    <n v="1482.4"/>
    <x v="25"/>
    <d v="2025-01-28T00:00:00"/>
    <x v="2"/>
    <x v="4"/>
    <x v="1"/>
    <x v="0"/>
    <x v="3"/>
    <x v="1"/>
    <x v="4"/>
    <x v="2"/>
  </r>
  <r>
    <x v="614"/>
    <x v="9"/>
    <x v="12"/>
    <n v="26.5"/>
    <n v="106"/>
    <x v="25"/>
    <d v="2025-01-28T00:00:00"/>
    <x v="1"/>
    <x v="0"/>
    <x v="4"/>
    <x v="0"/>
    <x v="3"/>
    <x v="1"/>
    <x v="4"/>
    <x v="1"/>
  </r>
  <r>
    <x v="615"/>
    <x v="0"/>
    <x v="1"/>
    <n v="34.6"/>
    <n v="69.2"/>
    <x v="25"/>
    <d v="2025-01-27T00:00:00"/>
    <x v="1"/>
    <x v="4"/>
    <x v="1"/>
    <x v="0"/>
    <x v="3"/>
    <x v="3"/>
    <x v="4"/>
    <x v="1"/>
  </r>
  <r>
    <x v="616"/>
    <x v="8"/>
    <x v="1"/>
    <n v="58.2"/>
    <n v="116.4"/>
    <x v="25"/>
    <d v="2025-01-27T00:00:00"/>
    <x v="1"/>
    <x v="2"/>
    <x v="2"/>
    <x v="0"/>
    <x v="3"/>
    <x v="3"/>
    <x v="4"/>
    <x v="1"/>
  </r>
  <r>
    <x v="617"/>
    <x v="7"/>
    <x v="0"/>
    <n v="30.2"/>
    <n v="30.2"/>
    <x v="26"/>
    <d v="2025-01-28T00:00:00"/>
    <x v="2"/>
    <x v="2"/>
    <x v="1"/>
    <x v="0"/>
    <x v="3"/>
    <x v="3"/>
    <x v="4"/>
    <x v="2"/>
  </r>
  <r>
    <x v="618"/>
    <x v="1"/>
    <x v="7"/>
    <n v="53.2"/>
    <n v="532"/>
    <x v="26"/>
    <d v="2025-01-28T00:00:00"/>
    <x v="1"/>
    <x v="0"/>
    <x v="2"/>
    <x v="0"/>
    <x v="5"/>
    <x v="3"/>
    <x v="4"/>
    <x v="1"/>
  </r>
  <r>
    <x v="619"/>
    <x v="12"/>
    <x v="13"/>
    <n v="51.1"/>
    <n v="306.60000000000002"/>
    <x v="26"/>
    <d v="2025-01-27T00:00:00"/>
    <x v="1"/>
    <x v="1"/>
    <x v="2"/>
    <x v="0"/>
    <x v="5"/>
    <x v="7"/>
    <x v="4"/>
    <x v="1"/>
  </r>
  <r>
    <x v="620"/>
    <x v="1"/>
    <x v="0"/>
    <n v="105.4"/>
    <n v="105.4"/>
    <x v="26"/>
    <d v="2025-01-31T00:00:00"/>
    <x v="2"/>
    <x v="1"/>
    <x v="2"/>
    <x v="0"/>
    <x v="23"/>
    <x v="5"/>
    <x v="4"/>
    <x v="2"/>
  </r>
  <r>
    <x v="621"/>
    <x v="7"/>
    <x v="0"/>
    <n v="57.7"/>
    <n v="57.7"/>
    <x v="26"/>
    <d v="2025-01-27T00:00:00"/>
    <x v="1"/>
    <x v="0"/>
    <x v="4"/>
    <x v="0"/>
    <x v="8"/>
    <x v="7"/>
    <x v="4"/>
    <x v="1"/>
  </r>
  <r>
    <x v="622"/>
    <x v="15"/>
    <x v="1"/>
    <n v="72.400000000000006"/>
    <n v="144.80000000000001"/>
    <x v="26"/>
    <d v="2025-02-01T00:00:00"/>
    <x v="2"/>
    <x v="0"/>
    <x v="0"/>
    <x v="0"/>
    <x v="17"/>
    <x v="0"/>
    <x v="4"/>
    <x v="2"/>
  </r>
  <r>
    <x v="623"/>
    <x v="6"/>
    <x v="1"/>
    <n v="62.5"/>
    <n v="125"/>
    <x v="26"/>
    <d v="2025-01-28T00:00:00"/>
    <x v="0"/>
    <x v="0"/>
    <x v="2"/>
    <x v="0"/>
    <x v="11"/>
    <x v="3"/>
    <x v="4"/>
    <x v="0"/>
  </r>
  <r>
    <x v="624"/>
    <x v="0"/>
    <x v="32"/>
    <n v="11.6"/>
    <n v="255.2"/>
    <x v="26"/>
    <d v="2025-01-29T00:00:00"/>
    <x v="2"/>
    <x v="3"/>
    <x v="2"/>
    <x v="0"/>
    <x v="18"/>
    <x v="1"/>
    <x v="4"/>
    <x v="2"/>
  </r>
  <r>
    <x v="625"/>
    <x v="10"/>
    <x v="7"/>
    <n v="39.6"/>
    <n v="396"/>
    <x v="26"/>
    <d v="2025-01-29T00:00:00"/>
    <x v="2"/>
    <x v="2"/>
    <x v="2"/>
    <x v="0"/>
    <x v="18"/>
    <x v="1"/>
    <x v="4"/>
    <x v="2"/>
  </r>
  <r>
    <x v="626"/>
    <x v="8"/>
    <x v="1"/>
    <n v="40.1"/>
    <n v="80.2"/>
    <x v="26"/>
    <d v="2025-01-28T00:00:00"/>
    <x v="2"/>
    <x v="2"/>
    <x v="0"/>
    <x v="0"/>
    <x v="18"/>
    <x v="3"/>
    <x v="4"/>
    <x v="2"/>
  </r>
  <r>
    <x v="627"/>
    <x v="8"/>
    <x v="2"/>
    <n v="18.600000000000001"/>
    <n v="55.800000000000004"/>
    <x v="26"/>
    <d v="2025-01-28T00:00:00"/>
    <x v="2"/>
    <x v="2"/>
    <x v="0"/>
    <x v="0"/>
    <x v="21"/>
    <x v="3"/>
    <x v="4"/>
    <x v="2"/>
  </r>
  <r>
    <x v="628"/>
    <x v="4"/>
    <x v="0"/>
    <n v="58.8"/>
    <n v="58.8"/>
    <x v="26"/>
    <d v="2025-01-29T00:00:00"/>
    <x v="2"/>
    <x v="0"/>
    <x v="1"/>
    <x v="0"/>
    <x v="21"/>
    <x v="1"/>
    <x v="4"/>
    <x v="2"/>
  </r>
  <r>
    <x v="629"/>
    <x v="8"/>
    <x v="1"/>
    <n v="22.1"/>
    <n v="44.2"/>
    <x v="26"/>
    <d v="2025-01-30T00:00:00"/>
    <x v="1"/>
    <x v="1"/>
    <x v="2"/>
    <x v="0"/>
    <x v="21"/>
    <x v="2"/>
    <x v="4"/>
    <x v="1"/>
  </r>
  <r>
    <x v="630"/>
    <x v="2"/>
    <x v="0"/>
    <n v="114.9"/>
    <n v="114.9"/>
    <x v="27"/>
    <d v="2025-01-29T00:00:00"/>
    <x v="2"/>
    <x v="1"/>
    <x v="1"/>
    <x v="0"/>
    <x v="22"/>
    <x v="3"/>
    <x v="4"/>
    <x v="2"/>
  </r>
  <r>
    <x v="631"/>
    <x v="9"/>
    <x v="9"/>
    <n v="75.8"/>
    <n v="379"/>
    <x v="27"/>
    <d v="2025-01-29T00:00:00"/>
    <x v="1"/>
    <x v="0"/>
    <x v="2"/>
    <x v="0"/>
    <x v="3"/>
    <x v="3"/>
    <x v="4"/>
    <x v="1"/>
  </r>
  <r>
    <x v="632"/>
    <x v="14"/>
    <x v="9"/>
    <n v="20.6"/>
    <n v="103"/>
    <x v="27"/>
    <d v="2025-01-29T00:00:00"/>
    <x v="1"/>
    <x v="2"/>
    <x v="2"/>
    <x v="0"/>
    <x v="3"/>
    <x v="3"/>
    <x v="4"/>
    <x v="1"/>
  </r>
  <r>
    <x v="633"/>
    <x v="17"/>
    <x v="2"/>
    <n v="67.900000000000006"/>
    <n v="203.70000000000002"/>
    <x v="27"/>
    <d v="2025-01-29T00:00:00"/>
    <x v="2"/>
    <x v="1"/>
    <x v="1"/>
    <x v="0"/>
    <x v="3"/>
    <x v="3"/>
    <x v="4"/>
    <x v="2"/>
  </r>
  <r>
    <x v="634"/>
    <x v="0"/>
    <x v="9"/>
    <n v="27"/>
    <n v="135"/>
    <x v="27"/>
    <d v="2025-02-04T00:00:00"/>
    <x v="2"/>
    <x v="0"/>
    <x v="2"/>
    <x v="0"/>
    <x v="3"/>
    <x v="6"/>
    <x v="4"/>
    <x v="2"/>
  </r>
  <r>
    <x v="635"/>
    <x v="13"/>
    <x v="0"/>
    <n v="50.6"/>
    <n v="50.6"/>
    <x v="27"/>
    <d v="2025-01-28T00:00:00"/>
    <x v="1"/>
    <x v="0"/>
    <x v="1"/>
    <x v="0"/>
    <x v="3"/>
    <x v="7"/>
    <x v="4"/>
    <x v="1"/>
  </r>
  <r>
    <x v="636"/>
    <x v="4"/>
    <x v="9"/>
    <n v="22.1"/>
    <n v="110.5"/>
    <x v="27"/>
    <d v="2025-02-02T00:00:00"/>
    <x v="1"/>
    <x v="0"/>
    <x v="0"/>
    <x v="0"/>
    <x v="3"/>
    <x v="0"/>
    <x v="4"/>
    <x v="1"/>
  </r>
  <r>
    <x v="637"/>
    <x v="8"/>
    <x v="2"/>
    <n v="42.9"/>
    <n v="128.69999999999999"/>
    <x v="27"/>
    <d v="2025-01-30T00:00:00"/>
    <x v="2"/>
    <x v="0"/>
    <x v="0"/>
    <x v="0"/>
    <x v="3"/>
    <x v="1"/>
    <x v="4"/>
    <x v="2"/>
  </r>
  <r>
    <x v="638"/>
    <x v="1"/>
    <x v="5"/>
    <n v="62.4"/>
    <n v="686.4"/>
    <x v="27"/>
    <d v="2025-01-30T00:00:00"/>
    <x v="2"/>
    <x v="2"/>
    <x v="0"/>
    <x v="0"/>
    <x v="3"/>
    <x v="1"/>
    <x v="4"/>
    <x v="2"/>
  </r>
  <r>
    <x v="639"/>
    <x v="13"/>
    <x v="11"/>
    <n v="36.4"/>
    <n v="327.59999999999997"/>
    <x v="27"/>
    <d v="2025-01-30T00:00:00"/>
    <x v="2"/>
    <x v="0"/>
    <x v="2"/>
    <x v="0"/>
    <x v="3"/>
    <x v="1"/>
    <x v="4"/>
    <x v="2"/>
  </r>
  <r>
    <x v="640"/>
    <x v="0"/>
    <x v="1"/>
    <n v="22.5"/>
    <n v="45"/>
    <x v="27"/>
    <d v="2025-01-31T00:00:00"/>
    <x v="1"/>
    <x v="0"/>
    <x v="0"/>
    <x v="0"/>
    <x v="3"/>
    <x v="2"/>
    <x v="4"/>
    <x v="1"/>
  </r>
  <r>
    <x v="641"/>
    <x v="6"/>
    <x v="12"/>
    <n v="70.8"/>
    <n v="283.2"/>
    <x v="27"/>
    <d v="2025-01-30T00:00:00"/>
    <x v="2"/>
    <x v="4"/>
    <x v="0"/>
    <x v="0"/>
    <x v="3"/>
    <x v="1"/>
    <x v="4"/>
    <x v="2"/>
  </r>
  <r>
    <x v="642"/>
    <x v="6"/>
    <x v="9"/>
    <n v="56.6"/>
    <n v="283"/>
    <x v="27"/>
    <d v="2025-01-30T00:00:00"/>
    <x v="1"/>
    <x v="0"/>
    <x v="1"/>
    <x v="0"/>
    <x v="4"/>
    <x v="1"/>
    <x v="4"/>
    <x v="1"/>
  </r>
  <r>
    <x v="643"/>
    <x v="6"/>
    <x v="1"/>
    <n v="47.9"/>
    <n v="95.8"/>
    <x v="27"/>
    <d v="2025-01-29T00:00:00"/>
    <x v="2"/>
    <x v="0"/>
    <x v="0"/>
    <x v="0"/>
    <x v="6"/>
    <x v="3"/>
    <x v="4"/>
    <x v="2"/>
  </r>
  <r>
    <x v="644"/>
    <x v="6"/>
    <x v="8"/>
    <n v="78.400000000000006"/>
    <n v="627.20000000000005"/>
    <x v="27"/>
    <d v="2025-01-30T00:00:00"/>
    <x v="2"/>
    <x v="1"/>
    <x v="0"/>
    <x v="0"/>
    <x v="6"/>
    <x v="1"/>
    <x v="4"/>
    <x v="2"/>
  </r>
  <r>
    <x v="645"/>
    <x v="2"/>
    <x v="21"/>
    <n v="122.1"/>
    <n v="1709.3999999999999"/>
    <x v="27"/>
    <d v="2025-02-02T00:00:00"/>
    <x v="2"/>
    <x v="0"/>
    <x v="2"/>
    <x v="0"/>
    <x v="6"/>
    <x v="0"/>
    <x v="4"/>
    <x v="2"/>
  </r>
  <r>
    <x v="646"/>
    <x v="2"/>
    <x v="1"/>
    <n v="83.7"/>
    <n v="167.4"/>
    <x v="28"/>
    <d v="2025-01-29T00:00:00"/>
    <x v="0"/>
    <x v="1"/>
    <x v="2"/>
    <x v="0"/>
    <x v="7"/>
    <x v="7"/>
    <x v="4"/>
    <x v="0"/>
  </r>
  <r>
    <x v="647"/>
    <x v="3"/>
    <x v="12"/>
    <n v="97.9"/>
    <n v="391.6"/>
    <x v="28"/>
    <d v="2025-02-02T00:00:00"/>
    <x v="2"/>
    <x v="3"/>
    <x v="2"/>
    <x v="0"/>
    <x v="7"/>
    <x v="5"/>
    <x v="4"/>
    <x v="2"/>
  </r>
  <r>
    <x v="648"/>
    <x v="14"/>
    <x v="0"/>
    <n v="15"/>
    <n v="15"/>
    <x v="28"/>
    <d v="2025-02-03T00:00:00"/>
    <x v="2"/>
    <x v="3"/>
    <x v="0"/>
    <x v="0"/>
    <x v="8"/>
    <x v="0"/>
    <x v="4"/>
    <x v="2"/>
  </r>
  <r>
    <x v="649"/>
    <x v="12"/>
    <x v="2"/>
    <n v="94.6"/>
    <n v="283.79999999999995"/>
    <x v="28"/>
    <d v="2025-01-30T00:00:00"/>
    <x v="1"/>
    <x v="2"/>
    <x v="1"/>
    <x v="0"/>
    <x v="8"/>
    <x v="3"/>
    <x v="4"/>
    <x v="1"/>
  </r>
  <r>
    <x v="650"/>
    <x v="0"/>
    <x v="13"/>
    <n v="19.7"/>
    <n v="118.19999999999999"/>
    <x v="28"/>
    <d v="2025-02-09T00:00:00"/>
    <x v="2"/>
    <x v="0"/>
    <x v="2"/>
    <x v="0"/>
    <x v="8"/>
    <x v="11"/>
    <x v="4"/>
    <x v="2"/>
  </r>
  <r>
    <x v="651"/>
    <x v="7"/>
    <x v="0"/>
    <n v="46.7"/>
    <n v="46.7"/>
    <x v="28"/>
    <d v="2025-02-01T00:00:00"/>
    <x v="2"/>
    <x v="2"/>
    <x v="0"/>
    <x v="0"/>
    <x v="17"/>
    <x v="2"/>
    <x v="4"/>
    <x v="2"/>
  </r>
  <r>
    <x v="652"/>
    <x v="1"/>
    <x v="12"/>
    <n v="43"/>
    <n v="172"/>
    <x v="28"/>
    <d v="2025-01-30T00:00:00"/>
    <x v="1"/>
    <x v="2"/>
    <x v="2"/>
    <x v="0"/>
    <x v="17"/>
    <x v="3"/>
    <x v="4"/>
    <x v="1"/>
  </r>
  <r>
    <x v="653"/>
    <x v="6"/>
    <x v="2"/>
    <n v="68.2"/>
    <n v="204.60000000000002"/>
    <x v="28"/>
    <d v="2025-02-04T00:00:00"/>
    <x v="2"/>
    <x v="0"/>
    <x v="0"/>
    <x v="0"/>
    <x v="9"/>
    <x v="4"/>
    <x v="4"/>
    <x v="2"/>
  </r>
  <r>
    <x v="654"/>
    <x v="10"/>
    <x v="7"/>
    <n v="24.3"/>
    <n v="243"/>
    <x v="28"/>
    <d v="2025-01-30T00:00:00"/>
    <x v="1"/>
    <x v="0"/>
    <x v="2"/>
    <x v="0"/>
    <x v="10"/>
    <x v="3"/>
    <x v="4"/>
    <x v="1"/>
  </r>
  <r>
    <x v="655"/>
    <x v="7"/>
    <x v="1"/>
    <n v="86.8"/>
    <n v="173.6"/>
    <x v="28"/>
    <d v="2025-02-02T00:00:00"/>
    <x v="2"/>
    <x v="4"/>
    <x v="2"/>
    <x v="0"/>
    <x v="11"/>
    <x v="5"/>
    <x v="4"/>
    <x v="2"/>
  </r>
  <r>
    <x v="656"/>
    <x v="0"/>
    <x v="1"/>
    <n v="15.8"/>
    <n v="31.6"/>
    <x v="28"/>
    <d v="2025-01-31T00:00:00"/>
    <x v="1"/>
    <x v="1"/>
    <x v="0"/>
    <x v="0"/>
    <x v="11"/>
    <x v="1"/>
    <x v="4"/>
    <x v="1"/>
  </r>
  <r>
    <x v="657"/>
    <x v="2"/>
    <x v="12"/>
    <n v="61.6"/>
    <n v="246.4"/>
    <x v="28"/>
    <d v="2025-01-30T00:00:00"/>
    <x v="1"/>
    <x v="2"/>
    <x v="0"/>
    <x v="0"/>
    <x v="11"/>
    <x v="3"/>
    <x v="4"/>
    <x v="1"/>
  </r>
  <r>
    <x v="658"/>
    <x v="6"/>
    <x v="2"/>
    <n v="48.7"/>
    <n v="146.10000000000002"/>
    <x v="28"/>
    <d v="2025-02-04T00:00:00"/>
    <x v="2"/>
    <x v="1"/>
    <x v="2"/>
    <x v="0"/>
    <x v="45"/>
    <x v="4"/>
    <x v="4"/>
    <x v="2"/>
  </r>
  <r>
    <x v="659"/>
    <x v="8"/>
    <x v="12"/>
    <n v="24.3"/>
    <n v="97.2"/>
    <x v="28"/>
    <d v="2025-01-31T00:00:00"/>
    <x v="2"/>
    <x v="1"/>
    <x v="2"/>
    <x v="0"/>
    <x v="21"/>
    <x v="1"/>
    <x v="4"/>
    <x v="2"/>
  </r>
  <r>
    <x v="660"/>
    <x v="2"/>
    <x v="1"/>
    <n v="130.69999999999999"/>
    <n v="261.39999999999998"/>
    <x v="28"/>
    <d v="2025-01-30T00:00:00"/>
    <x v="2"/>
    <x v="2"/>
    <x v="0"/>
    <x v="0"/>
    <x v="44"/>
    <x v="3"/>
    <x v="4"/>
    <x v="2"/>
  </r>
  <r>
    <x v="661"/>
    <x v="10"/>
    <x v="0"/>
    <n v="26"/>
    <n v="26"/>
    <x v="28"/>
    <d v="2025-01-31T00:00:00"/>
    <x v="1"/>
    <x v="0"/>
    <x v="0"/>
    <x v="0"/>
    <x v="3"/>
    <x v="1"/>
    <x v="4"/>
    <x v="1"/>
  </r>
  <r>
    <x v="662"/>
    <x v="2"/>
    <x v="9"/>
    <n v="94.4"/>
    <n v="472"/>
    <x v="28"/>
    <d v="2025-01-30T00:00:00"/>
    <x v="2"/>
    <x v="0"/>
    <x v="0"/>
    <x v="0"/>
    <x v="3"/>
    <x v="3"/>
    <x v="4"/>
    <x v="2"/>
  </r>
  <r>
    <x v="663"/>
    <x v="0"/>
    <x v="13"/>
    <n v="23.7"/>
    <n v="142.19999999999999"/>
    <x v="28"/>
    <d v="2025-01-31T00:00:00"/>
    <x v="1"/>
    <x v="2"/>
    <x v="2"/>
    <x v="0"/>
    <x v="3"/>
    <x v="1"/>
    <x v="4"/>
    <x v="1"/>
  </r>
  <r>
    <x v="664"/>
    <x v="9"/>
    <x v="4"/>
    <n v="37.4"/>
    <n v="448.79999999999995"/>
    <x v="28"/>
    <d v="2025-01-31T00:00:00"/>
    <x v="1"/>
    <x v="2"/>
    <x v="0"/>
    <x v="0"/>
    <x v="3"/>
    <x v="1"/>
    <x v="4"/>
    <x v="1"/>
  </r>
  <r>
    <x v="665"/>
    <x v="1"/>
    <x v="34"/>
    <n v="55.2"/>
    <n v="1987.2"/>
    <x v="28"/>
    <d v="2025-01-29T00:00:00"/>
    <x v="2"/>
    <x v="3"/>
    <x v="1"/>
    <x v="0"/>
    <x v="3"/>
    <x v="7"/>
    <x v="4"/>
    <x v="2"/>
  </r>
  <r>
    <x v="666"/>
    <x v="2"/>
    <x v="11"/>
    <n v="57.1"/>
    <n v="513.9"/>
    <x v="28"/>
    <d v="2025-01-31T00:00:00"/>
    <x v="1"/>
    <x v="0"/>
    <x v="2"/>
    <x v="0"/>
    <x v="3"/>
    <x v="1"/>
    <x v="4"/>
    <x v="1"/>
  </r>
  <r>
    <x v="667"/>
    <x v="12"/>
    <x v="0"/>
    <n v="55.3"/>
    <n v="55.3"/>
    <x v="28"/>
    <d v="2025-01-30T00:00:00"/>
    <x v="2"/>
    <x v="2"/>
    <x v="2"/>
    <x v="0"/>
    <x v="3"/>
    <x v="3"/>
    <x v="4"/>
    <x v="2"/>
  </r>
  <r>
    <x v="668"/>
    <x v="15"/>
    <x v="3"/>
    <n v="23.9"/>
    <n v="167.29999999999998"/>
    <x v="28"/>
    <d v="2025-01-30T00:00:00"/>
    <x v="2"/>
    <x v="4"/>
    <x v="1"/>
    <x v="0"/>
    <x v="3"/>
    <x v="3"/>
    <x v="4"/>
    <x v="2"/>
  </r>
  <r>
    <x v="669"/>
    <x v="0"/>
    <x v="0"/>
    <n v="34.1"/>
    <n v="34.1"/>
    <x v="28"/>
    <d v="2025-02-05T00:00:00"/>
    <x v="2"/>
    <x v="2"/>
    <x v="0"/>
    <x v="0"/>
    <x v="3"/>
    <x v="6"/>
    <x v="4"/>
    <x v="2"/>
  </r>
  <r>
    <x v="670"/>
    <x v="12"/>
    <x v="12"/>
    <n v="38.5"/>
    <n v="154"/>
    <x v="28"/>
    <d v="2025-02-09T00:00:00"/>
    <x v="2"/>
    <x v="0"/>
    <x v="0"/>
    <x v="0"/>
    <x v="3"/>
    <x v="11"/>
    <x v="4"/>
    <x v="2"/>
  </r>
  <r>
    <x v="671"/>
    <x v="7"/>
    <x v="1"/>
    <n v="105"/>
    <n v="210"/>
    <x v="28"/>
    <d v="2025-02-04T00:00:00"/>
    <x v="2"/>
    <x v="0"/>
    <x v="2"/>
    <x v="0"/>
    <x v="3"/>
    <x v="4"/>
    <x v="4"/>
    <x v="2"/>
  </r>
  <r>
    <x v="672"/>
    <x v="8"/>
    <x v="9"/>
    <n v="45.2"/>
    <n v="226"/>
    <x v="28"/>
    <d v="2025-01-31T00:00:00"/>
    <x v="2"/>
    <x v="0"/>
    <x v="2"/>
    <x v="0"/>
    <x v="3"/>
    <x v="1"/>
    <x v="4"/>
    <x v="2"/>
  </r>
  <r>
    <x v="673"/>
    <x v="17"/>
    <x v="2"/>
    <n v="24.8"/>
    <n v="74.400000000000006"/>
    <x v="28"/>
    <d v="2025-01-29T00:00:00"/>
    <x v="0"/>
    <x v="0"/>
    <x v="1"/>
    <x v="0"/>
    <x v="3"/>
    <x v="7"/>
    <x v="4"/>
    <x v="0"/>
  </r>
  <r>
    <x v="674"/>
    <x v="11"/>
    <x v="12"/>
    <n v="43.8"/>
    <n v="175.2"/>
    <x v="28"/>
    <d v="2025-02-05T00:00:00"/>
    <x v="2"/>
    <x v="1"/>
    <x v="2"/>
    <x v="0"/>
    <x v="6"/>
    <x v="6"/>
    <x v="4"/>
    <x v="2"/>
  </r>
  <r>
    <x v="675"/>
    <x v="1"/>
    <x v="0"/>
    <n v="75"/>
    <n v="75"/>
    <x v="28"/>
    <d v="2025-01-31T00:00:00"/>
    <x v="2"/>
    <x v="4"/>
    <x v="1"/>
    <x v="0"/>
    <x v="6"/>
    <x v="1"/>
    <x v="4"/>
    <x v="2"/>
  </r>
  <r>
    <x v="676"/>
    <x v="2"/>
    <x v="0"/>
    <n v="169.9"/>
    <n v="169.9"/>
    <x v="28"/>
    <d v="2025-01-30T00:00:00"/>
    <x v="1"/>
    <x v="2"/>
    <x v="0"/>
    <x v="0"/>
    <x v="6"/>
    <x v="3"/>
    <x v="4"/>
    <x v="1"/>
  </r>
  <r>
    <x v="677"/>
    <x v="9"/>
    <x v="1"/>
    <n v="72.2"/>
    <n v="144.4"/>
    <x v="28"/>
    <d v="2025-01-31T00:00:00"/>
    <x v="2"/>
    <x v="4"/>
    <x v="1"/>
    <x v="0"/>
    <x v="6"/>
    <x v="1"/>
    <x v="4"/>
    <x v="2"/>
  </r>
  <r>
    <x v="678"/>
    <x v="0"/>
    <x v="0"/>
    <n v="20"/>
    <n v="20"/>
    <x v="29"/>
    <d v="2025-02-02T00:00:00"/>
    <x v="2"/>
    <x v="2"/>
    <x v="1"/>
    <x v="0"/>
    <x v="7"/>
    <x v="2"/>
    <x v="4"/>
    <x v="2"/>
  </r>
  <r>
    <x v="679"/>
    <x v="9"/>
    <x v="1"/>
    <n v="40.799999999999997"/>
    <n v="81.599999999999994"/>
    <x v="29"/>
    <d v="2025-02-01T00:00:00"/>
    <x v="2"/>
    <x v="3"/>
    <x v="2"/>
    <x v="0"/>
    <x v="8"/>
    <x v="1"/>
    <x v="4"/>
    <x v="2"/>
  </r>
  <r>
    <x v="680"/>
    <x v="10"/>
    <x v="12"/>
    <n v="58"/>
    <n v="232"/>
    <x v="29"/>
    <d v="2025-02-03T00:00:00"/>
    <x v="2"/>
    <x v="0"/>
    <x v="0"/>
    <x v="0"/>
    <x v="8"/>
    <x v="5"/>
    <x v="4"/>
    <x v="2"/>
  </r>
  <r>
    <x v="681"/>
    <x v="12"/>
    <x v="1"/>
    <n v="43.1"/>
    <n v="86.2"/>
    <x v="29"/>
    <d v="2025-01-31T00:00:00"/>
    <x v="2"/>
    <x v="1"/>
    <x v="2"/>
    <x v="0"/>
    <x v="8"/>
    <x v="3"/>
    <x v="4"/>
    <x v="2"/>
  </r>
  <r>
    <x v="682"/>
    <x v="6"/>
    <x v="11"/>
    <n v="74.7"/>
    <n v="672.30000000000007"/>
    <x v="29"/>
    <d v="2025-02-01T00:00:00"/>
    <x v="1"/>
    <x v="0"/>
    <x v="2"/>
    <x v="0"/>
    <x v="8"/>
    <x v="1"/>
    <x v="4"/>
    <x v="1"/>
  </r>
  <r>
    <x v="683"/>
    <x v="6"/>
    <x v="0"/>
    <n v="128.19999999999999"/>
    <n v="128.19999999999999"/>
    <x v="29"/>
    <d v="2025-01-30T00:00:00"/>
    <x v="1"/>
    <x v="1"/>
    <x v="0"/>
    <x v="0"/>
    <x v="8"/>
    <x v="7"/>
    <x v="4"/>
    <x v="1"/>
  </r>
  <r>
    <x v="684"/>
    <x v="14"/>
    <x v="12"/>
    <n v="26.7"/>
    <n v="106.8"/>
    <x v="29"/>
    <d v="2025-01-31T00:00:00"/>
    <x v="1"/>
    <x v="1"/>
    <x v="0"/>
    <x v="0"/>
    <x v="8"/>
    <x v="3"/>
    <x v="4"/>
    <x v="1"/>
  </r>
  <r>
    <x v="685"/>
    <x v="17"/>
    <x v="13"/>
    <n v="31.5"/>
    <n v="189"/>
    <x v="29"/>
    <d v="2025-01-31T00:00:00"/>
    <x v="2"/>
    <x v="2"/>
    <x v="0"/>
    <x v="0"/>
    <x v="17"/>
    <x v="3"/>
    <x v="4"/>
    <x v="2"/>
  </r>
  <r>
    <x v="686"/>
    <x v="3"/>
    <x v="3"/>
    <n v="64.7"/>
    <n v="452.90000000000003"/>
    <x v="29"/>
    <d v="2025-01-31T00:00:00"/>
    <x v="2"/>
    <x v="0"/>
    <x v="2"/>
    <x v="0"/>
    <x v="9"/>
    <x v="3"/>
    <x v="4"/>
    <x v="2"/>
  </r>
  <r>
    <x v="687"/>
    <x v="5"/>
    <x v="1"/>
    <n v="55.6"/>
    <n v="111.2"/>
    <x v="29"/>
    <d v="2025-02-02T00:00:00"/>
    <x v="2"/>
    <x v="3"/>
    <x v="0"/>
    <x v="0"/>
    <x v="11"/>
    <x v="2"/>
    <x v="4"/>
    <x v="2"/>
  </r>
  <r>
    <x v="688"/>
    <x v="3"/>
    <x v="1"/>
    <n v="36.200000000000003"/>
    <n v="72.400000000000006"/>
    <x v="29"/>
    <d v="2025-01-31T00:00:00"/>
    <x v="2"/>
    <x v="3"/>
    <x v="0"/>
    <x v="0"/>
    <x v="11"/>
    <x v="3"/>
    <x v="4"/>
    <x v="2"/>
  </r>
  <r>
    <x v="689"/>
    <x v="0"/>
    <x v="0"/>
    <n v="26.6"/>
    <n v="26.6"/>
    <x v="29"/>
    <d v="2025-01-31T00:00:00"/>
    <x v="0"/>
    <x v="1"/>
    <x v="1"/>
    <x v="0"/>
    <x v="19"/>
    <x v="3"/>
    <x v="4"/>
    <x v="0"/>
  </r>
  <r>
    <x v="690"/>
    <x v="10"/>
    <x v="12"/>
    <n v="31.5"/>
    <n v="126"/>
    <x v="29"/>
    <d v="2025-02-01T00:00:00"/>
    <x v="1"/>
    <x v="0"/>
    <x v="0"/>
    <x v="0"/>
    <x v="31"/>
    <x v="1"/>
    <x v="4"/>
    <x v="1"/>
  </r>
  <r>
    <x v="691"/>
    <x v="10"/>
    <x v="0"/>
    <n v="27"/>
    <n v="27"/>
    <x v="29"/>
    <d v="2025-02-01T00:00:00"/>
    <x v="2"/>
    <x v="1"/>
    <x v="2"/>
    <x v="0"/>
    <x v="13"/>
    <x v="1"/>
    <x v="4"/>
    <x v="2"/>
  </r>
  <r>
    <x v="692"/>
    <x v="4"/>
    <x v="0"/>
    <n v="32"/>
    <n v="32"/>
    <x v="29"/>
    <d v="2025-02-02T00:00:00"/>
    <x v="1"/>
    <x v="3"/>
    <x v="0"/>
    <x v="0"/>
    <x v="21"/>
    <x v="2"/>
    <x v="4"/>
    <x v="1"/>
  </r>
  <r>
    <x v="693"/>
    <x v="1"/>
    <x v="2"/>
    <n v="48.1"/>
    <n v="144.30000000000001"/>
    <x v="29"/>
    <d v="2025-02-01T00:00:00"/>
    <x v="1"/>
    <x v="2"/>
    <x v="1"/>
    <x v="0"/>
    <x v="1"/>
    <x v="1"/>
    <x v="4"/>
    <x v="1"/>
  </r>
  <r>
    <x v="694"/>
    <x v="9"/>
    <x v="1"/>
    <n v="43.4"/>
    <n v="86.8"/>
    <x v="29"/>
    <d v="2025-01-31T00:00:00"/>
    <x v="1"/>
    <x v="1"/>
    <x v="1"/>
    <x v="0"/>
    <x v="22"/>
    <x v="3"/>
    <x v="4"/>
    <x v="1"/>
  </r>
  <r>
    <x v="695"/>
    <x v="6"/>
    <x v="1"/>
    <n v="42.6"/>
    <n v="85.2"/>
    <x v="29"/>
    <d v="2025-02-02T00:00:00"/>
    <x v="2"/>
    <x v="3"/>
    <x v="0"/>
    <x v="0"/>
    <x v="22"/>
    <x v="2"/>
    <x v="4"/>
    <x v="2"/>
  </r>
  <r>
    <x v="696"/>
    <x v="8"/>
    <x v="1"/>
    <n v="15.9"/>
    <n v="31.8"/>
    <x v="29"/>
    <d v="2025-01-31T00:00:00"/>
    <x v="2"/>
    <x v="0"/>
    <x v="0"/>
    <x v="0"/>
    <x v="34"/>
    <x v="3"/>
    <x v="4"/>
    <x v="2"/>
  </r>
  <r>
    <x v="697"/>
    <x v="9"/>
    <x v="1"/>
    <n v="63.2"/>
    <n v="126.4"/>
    <x v="29"/>
    <d v="2025-01-31T00:00:00"/>
    <x v="1"/>
    <x v="1"/>
    <x v="0"/>
    <x v="0"/>
    <x v="3"/>
    <x v="3"/>
    <x v="4"/>
    <x v="1"/>
  </r>
  <r>
    <x v="698"/>
    <x v="7"/>
    <x v="12"/>
    <n v="64.8"/>
    <n v="259.2"/>
    <x v="29"/>
    <d v="2025-02-01T00:00:00"/>
    <x v="0"/>
    <x v="4"/>
    <x v="1"/>
    <x v="0"/>
    <x v="3"/>
    <x v="1"/>
    <x v="4"/>
    <x v="0"/>
  </r>
  <r>
    <x v="699"/>
    <x v="7"/>
    <x v="2"/>
    <n v="79.8"/>
    <n v="239.39999999999998"/>
    <x v="29"/>
    <d v="2025-01-31T00:00:00"/>
    <x v="1"/>
    <x v="0"/>
    <x v="0"/>
    <x v="0"/>
    <x v="3"/>
    <x v="3"/>
    <x v="4"/>
    <x v="1"/>
  </r>
  <r>
    <x v="700"/>
    <x v="9"/>
    <x v="0"/>
    <n v="54.4"/>
    <n v="54.4"/>
    <x v="29"/>
    <d v="2025-02-01T00:00:00"/>
    <x v="2"/>
    <x v="4"/>
    <x v="2"/>
    <x v="0"/>
    <x v="3"/>
    <x v="1"/>
    <x v="4"/>
    <x v="2"/>
  </r>
  <r>
    <x v="701"/>
    <x v="6"/>
    <x v="0"/>
    <n v="87.3"/>
    <n v="87.3"/>
    <x v="29"/>
    <d v="2025-01-31T00:00:00"/>
    <x v="1"/>
    <x v="1"/>
    <x v="0"/>
    <x v="0"/>
    <x v="3"/>
    <x v="3"/>
    <x v="4"/>
    <x v="1"/>
  </r>
  <r>
    <x v="702"/>
    <x v="8"/>
    <x v="12"/>
    <n v="32.4"/>
    <n v="129.6"/>
    <x v="29"/>
    <d v="2025-01-30T00:00:00"/>
    <x v="1"/>
    <x v="1"/>
    <x v="0"/>
    <x v="0"/>
    <x v="3"/>
    <x v="7"/>
    <x v="4"/>
    <x v="1"/>
  </r>
  <r>
    <x v="703"/>
    <x v="2"/>
    <x v="0"/>
    <n v="177.4"/>
    <n v="177.4"/>
    <x v="29"/>
    <d v="2025-02-03T00:00:00"/>
    <x v="1"/>
    <x v="0"/>
    <x v="2"/>
    <x v="0"/>
    <x v="3"/>
    <x v="5"/>
    <x v="4"/>
    <x v="1"/>
  </r>
  <r>
    <x v="704"/>
    <x v="7"/>
    <x v="1"/>
    <n v="70.099999999999994"/>
    <n v="140.19999999999999"/>
    <x v="29"/>
    <d v="2025-01-31T00:00:00"/>
    <x v="1"/>
    <x v="3"/>
    <x v="1"/>
    <x v="0"/>
    <x v="3"/>
    <x v="3"/>
    <x v="4"/>
    <x v="1"/>
  </r>
  <r>
    <x v="705"/>
    <x v="9"/>
    <x v="13"/>
    <n v="51.1"/>
    <n v="306.60000000000002"/>
    <x v="29"/>
    <d v="2025-01-31T00:00:00"/>
    <x v="2"/>
    <x v="0"/>
    <x v="0"/>
    <x v="0"/>
    <x v="3"/>
    <x v="3"/>
    <x v="4"/>
    <x v="2"/>
  </r>
  <r>
    <x v="706"/>
    <x v="2"/>
    <x v="9"/>
    <n v="79.900000000000006"/>
    <n v="399.5"/>
    <x v="29"/>
    <d v="2025-02-01T00:00:00"/>
    <x v="1"/>
    <x v="3"/>
    <x v="2"/>
    <x v="0"/>
    <x v="24"/>
    <x v="1"/>
    <x v="4"/>
    <x v="1"/>
  </r>
  <r>
    <x v="707"/>
    <x v="6"/>
    <x v="0"/>
    <n v="57.6"/>
    <n v="57.6"/>
    <x v="30"/>
    <d v="2025-02-05T00:00:00"/>
    <x v="1"/>
    <x v="0"/>
    <x v="2"/>
    <x v="0"/>
    <x v="49"/>
    <x v="0"/>
    <x v="4"/>
    <x v="1"/>
  </r>
  <r>
    <x v="708"/>
    <x v="8"/>
    <x v="7"/>
    <n v="59.7"/>
    <n v="597"/>
    <x v="30"/>
    <d v="2025-02-04T00:00:00"/>
    <x v="1"/>
    <x v="2"/>
    <x v="0"/>
    <x v="0"/>
    <x v="25"/>
    <x v="5"/>
    <x v="4"/>
    <x v="1"/>
  </r>
  <r>
    <x v="709"/>
    <x v="8"/>
    <x v="9"/>
    <n v="30"/>
    <n v="150"/>
    <x v="30"/>
    <d v="2025-02-02T00:00:00"/>
    <x v="1"/>
    <x v="1"/>
    <x v="0"/>
    <x v="0"/>
    <x v="6"/>
    <x v="1"/>
    <x v="4"/>
    <x v="1"/>
  </r>
  <r>
    <x v="710"/>
    <x v="10"/>
    <x v="1"/>
    <n v="69.2"/>
    <n v="138.4"/>
    <x v="30"/>
    <d v="2025-02-02T00:00:00"/>
    <x v="0"/>
    <x v="2"/>
    <x v="1"/>
    <x v="0"/>
    <x v="6"/>
    <x v="1"/>
    <x v="4"/>
    <x v="0"/>
  </r>
  <r>
    <x v="711"/>
    <x v="0"/>
    <x v="8"/>
    <n v="10.9"/>
    <n v="87.2"/>
    <x v="30"/>
    <d v="2025-02-01T00:00:00"/>
    <x v="2"/>
    <x v="0"/>
    <x v="2"/>
    <x v="0"/>
    <x v="6"/>
    <x v="3"/>
    <x v="4"/>
    <x v="2"/>
  </r>
  <r>
    <x v="712"/>
    <x v="16"/>
    <x v="1"/>
    <n v="48.6"/>
    <n v="97.2"/>
    <x v="30"/>
    <d v="2025-02-04T00:00:00"/>
    <x v="1"/>
    <x v="1"/>
    <x v="2"/>
    <x v="0"/>
    <x v="6"/>
    <x v="5"/>
    <x v="4"/>
    <x v="1"/>
  </r>
  <r>
    <x v="713"/>
    <x v="2"/>
    <x v="1"/>
    <n v="61.1"/>
    <n v="122.2"/>
    <x v="30"/>
    <d v="2025-02-03T00:00:00"/>
    <x v="2"/>
    <x v="1"/>
    <x v="2"/>
    <x v="0"/>
    <x v="7"/>
    <x v="2"/>
    <x v="4"/>
    <x v="2"/>
  </r>
  <r>
    <x v="714"/>
    <x v="8"/>
    <x v="1"/>
    <n v="23.2"/>
    <n v="46.4"/>
    <x v="30"/>
    <d v="2025-02-01T00:00:00"/>
    <x v="1"/>
    <x v="3"/>
    <x v="2"/>
    <x v="0"/>
    <x v="8"/>
    <x v="3"/>
    <x v="4"/>
    <x v="1"/>
  </r>
  <r>
    <x v="715"/>
    <x v="12"/>
    <x v="12"/>
    <n v="55.8"/>
    <n v="223.2"/>
    <x v="30"/>
    <d v="2025-02-01T00:00:00"/>
    <x v="1"/>
    <x v="0"/>
    <x v="0"/>
    <x v="0"/>
    <x v="8"/>
    <x v="3"/>
    <x v="4"/>
    <x v="1"/>
  </r>
  <r>
    <x v="716"/>
    <x v="9"/>
    <x v="12"/>
    <n v="24.8"/>
    <n v="99.2"/>
    <x v="30"/>
    <d v="2025-02-01T00:00:00"/>
    <x v="2"/>
    <x v="0"/>
    <x v="2"/>
    <x v="0"/>
    <x v="8"/>
    <x v="3"/>
    <x v="4"/>
    <x v="2"/>
  </r>
  <r>
    <x v="717"/>
    <x v="10"/>
    <x v="1"/>
    <n v="27.9"/>
    <n v="55.8"/>
    <x v="30"/>
    <d v="2025-01-31T00:00:00"/>
    <x v="1"/>
    <x v="2"/>
    <x v="2"/>
    <x v="0"/>
    <x v="8"/>
    <x v="7"/>
    <x v="4"/>
    <x v="1"/>
  </r>
  <r>
    <x v="718"/>
    <x v="10"/>
    <x v="13"/>
    <n v="51.1"/>
    <n v="306.60000000000002"/>
    <x v="30"/>
    <d v="2025-01-31T00:00:00"/>
    <x v="2"/>
    <x v="3"/>
    <x v="0"/>
    <x v="0"/>
    <x v="8"/>
    <x v="7"/>
    <x v="4"/>
    <x v="2"/>
  </r>
  <r>
    <x v="719"/>
    <x v="17"/>
    <x v="5"/>
    <n v="32.700000000000003"/>
    <n v="359.70000000000005"/>
    <x v="30"/>
    <d v="2025-02-01T00:00:00"/>
    <x v="1"/>
    <x v="4"/>
    <x v="2"/>
    <x v="0"/>
    <x v="17"/>
    <x v="3"/>
    <x v="4"/>
    <x v="1"/>
  </r>
  <r>
    <x v="720"/>
    <x v="8"/>
    <x v="12"/>
    <n v="22.5"/>
    <n v="90"/>
    <x v="30"/>
    <d v="2025-01-31T00:00:00"/>
    <x v="1"/>
    <x v="0"/>
    <x v="2"/>
    <x v="0"/>
    <x v="26"/>
    <x v="7"/>
    <x v="4"/>
    <x v="1"/>
  </r>
  <r>
    <x v="721"/>
    <x v="0"/>
    <x v="3"/>
    <n v="14.6"/>
    <n v="102.2"/>
    <x v="30"/>
    <d v="2025-02-01T00:00:00"/>
    <x v="2"/>
    <x v="2"/>
    <x v="0"/>
    <x v="0"/>
    <x v="41"/>
    <x v="3"/>
    <x v="4"/>
    <x v="2"/>
  </r>
  <r>
    <x v="722"/>
    <x v="5"/>
    <x v="2"/>
    <n v="32.5"/>
    <n v="97.5"/>
    <x v="30"/>
    <d v="2025-02-03T00:00:00"/>
    <x v="1"/>
    <x v="0"/>
    <x v="0"/>
    <x v="0"/>
    <x v="10"/>
    <x v="2"/>
    <x v="4"/>
    <x v="1"/>
  </r>
  <r>
    <x v="723"/>
    <x v="18"/>
    <x v="0"/>
    <n v="78.099999999999994"/>
    <n v="78.099999999999994"/>
    <x v="30"/>
    <d v="2025-02-03T00:00:00"/>
    <x v="1"/>
    <x v="0"/>
    <x v="2"/>
    <x v="0"/>
    <x v="11"/>
    <x v="2"/>
    <x v="4"/>
    <x v="1"/>
  </r>
  <r>
    <x v="724"/>
    <x v="12"/>
    <x v="13"/>
    <n v="110.2"/>
    <n v="661.2"/>
    <x v="30"/>
    <d v="2025-01-31T00:00:00"/>
    <x v="1"/>
    <x v="1"/>
    <x v="4"/>
    <x v="0"/>
    <x v="13"/>
    <x v="7"/>
    <x v="4"/>
    <x v="1"/>
  </r>
  <r>
    <x v="725"/>
    <x v="6"/>
    <x v="2"/>
    <n v="86.3"/>
    <n v="258.89999999999998"/>
    <x v="30"/>
    <d v="2025-02-02T00:00:00"/>
    <x v="2"/>
    <x v="3"/>
    <x v="0"/>
    <x v="0"/>
    <x v="21"/>
    <x v="1"/>
    <x v="4"/>
    <x v="2"/>
  </r>
  <r>
    <x v="726"/>
    <x v="1"/>
    <x v="13"/>
    <n v="73.599999999999994"/>
    <n v="441.59999999999997"/>
    <x v="30"/>
    <d v="2025-02-02T00:00:00"/>
    <x v="3"/>
    <x v="3"/>
    <x v="4"/>
    <x v="0"/>
    <x v="44"/>
    <x v="1"/>
    <x v="4"/>
    <x v="3"/>
  </r>
  <r>
    <x v="727"/>
    <x v="6"/>
    <x v="15"/>
    <n v="67.7"/>
    <n v="880.1"/>
    <x v="30"/>
    <d v="2025-02-02T00:00:00"/>
    <x v="2"/>
    <x v="0"/>
    <x v="2"/>
    <x v="0"/>
    <x v="3"/>
    <x v="1"/>
    <x v="4"/>
    <x v="2"/>
  </r>
  <r>
    <x v="728"/>
    <x v="7"/>
    <x v="13"/>
    <n v="142.19999999999999"/>
    <n v="853.19999999999993"/>
    <x v="30"/>
    <d v="2025-02-01T00:00:00"/>
    <x v="2"/>
    <x v="2"/>
    <x v="4"/>
    <x v="0"/>
    <x v="3"/>
    <x v="3"/>
    <x v="4"/>
    <x v="2"/>
  </r>
  <r>
    <x v="729"/>
    <x v="1"/>
    <x v="11"/>
    <n v="45.8"/>
    <n v="412.2"/>
    <x v="30"/>
    <d v="2025-02-02T00:00:00"/>
    <x v="2"/>
    <x v="1"/>
    <x v="2"/>
    <x v="0"/>
    <x v="3"/>
    <x v="1"/>
    <x v="4"/>
    <x v="2"/>
  </r>
  <r>
    <x v="730"/>
    <x v="10"/>
    <x v="1"/>
    <n v="24.2"/>
    <n v="48.4"/>
    <x v="31"/>
    <d v="2025-02-04T00:00:00"/>
    <x v="2"/>
    <x v="3"/>
    <x v="2"/>
    <x v="0"/>
    <x v="3"/>
    <x v="2"/>
    <x v="4"/>
    <x v="2"/>
  </r>
  <r>
    <x v="731"/>
    <x v="2"/>
    <x v="2"/>
    <n v="144.9"/>
    <n v="434.70000000000005"/>
    <x v="31"/>
    <d v="2025-02-02T00:00:00"/>
    <x v="3"/>
    <x v="2"/>
    <x v="2"/>
    <x v="0"/>
    <x v="3"/>
    <x v="3"/>
    <x v="4"/>
    <x v="3"/>
  </r>
  <r>
    <x v="732"/>
    <x v="11"/>
    <x v="9"/>
    <n v="32.799999999999997"/>
    <n v="164"/>
    <x v="31"/>
    <d v="2025-02-04T00:00:00"/>
    <x v="2"/>
    <x v="2"/>
    <x v="0"/>
    <x v="0"/>
    <x v="23"/>
    <x v="2"/>
    <x v="4"/>
    <x v="2"/>
  </r>
  <r>
    <x v="733"/>
    <x v="7"/>
    <x v="7"/>
    <n v="35.700000000000003"/>
    <n v="357"/>
    <x v="31"/>
    <d v="2025-02-01T00:00:00"/>
    <x v="2"/>
    <x v="0"/>
    <x v="1"/>
    <x v="0"/>
    <x v="6"/>
    <x v="7"/>
    <x v="4"/>
    <x v="2"/>
  </r>
  <r>
    <x v="734"/>
    <x v="9"/>
    <x v="1"/>
    <n v="54.6"/>
    <n v="109.2"/>
    <x v="31"/>
    <d v="2025-02-02T00:00:00"/>
    <x v="2"/>
    <x v="2"/>
    <x v="0"/>
    <x v="0"/>
    <x v="6"/>
    <x v="3"/>
    <x v="4"/>
    <x v="2"/>
  </r>
  <r>
    <x v="735"/>
    <x v="8"/>
    <x v="1"/>
    <n v="35.700000000000003"/>
    <n v="71.400000000000006"/>
    <x v="31"/>
    <d v="2025-02-04T00:00:00"/>
    <x v="0"/>
    <x v="0"/>
    <x v="1"/>
    <x v="0"/>
    <x v="6"/>
    <x v="2"/>
    <x v="4"/>
    <x v="0"/>
  </r>
  <r>
    <x v="736"/>
    <x v="10"/>
    <x v="1"/>
    <n v="52.4"/>
    <n v="104.8"/>
    <x v="31"/>
    <d v="2025-02-01T00:00:00"/>
    <x v="2"/>
    <x v="0"/>
    <x v="3"/>
    <x v="0"/>
    <x v="6"/>
    <x v="7"/>
    <x v="4"/>
    <x v="2"/>
  </r>
  <r>
    <x v="737"/>
    <x v="8"/>
    <x v="21"/>
    <n v="16.2"/>
    <n v="226.79999999999998"/>
    <x v="31"/>
    <d v="2025-02-02T00:00:00"/>
    <x v="0"/>
    <x v="0"/>
    <x v="1"/>
    <x v="0"/>
    <x v="8"/>
    <x v="3"/>
    <x v="4"/>
    <x v="0"/>
  </r>
  <r>
    <x v="738"/>
    <x v="6"/>
    <x v="35"/>
    <n v="42.8"/>
    <n v="2011.6"/>
    <x v="31"/>
    <d v="2025-02-02T00:00:00"/>
    <x v="2"/>
    <x v="0"/>
    <x v="0"/>
    <x v="0"/>
    <x v="8"/>
    <x v="3"/>
    <x v="4"/>
    <x v="2"/>
  </r>
  <r>
    <x v="739"/>
    <x v="6"/>
    <x v="11"/>
    <n v="144.4"/>
    <n v="1299.6000000000001"/>
    <x v="31"/>
    <d v="2025-02-04T00:00:00"/>
    <x v="2"/>
    <x v="4"/>
    <x v="0"/>
    <x v="0"/>
    <x v="8"/>
    <x v="2"/>
    <x v="4"/>
    <x v="2"/>
  </r>
  <r>
    <x v="740"/>
    <x v="3"/>
    <x v="34"/>
    <n v="30.6"/>
    <n v="1101.6000000000001"/>
    <x v="31"/>
    <d v="2025-02-05T00:00:00"/>
    <x v="2"/>
    <x v="2"/>
    <x v="2"/>
    <x v="0"/>
    <x v="11"/>
    <x v="5"/>
    <x v="4"/>
    <x v="2"/>
  </r>
  <r>
    <x v="741"/>
    <x v="2"/>
    <x v="1"/>
    <n v="117.5"/>
    <n v="235"/>
    <x v="31"/>
    <d v="2025-02-02T00:00:00"/>
    <x v="1"/>
    <x v="0"/>
    <x v="0"/>
    <x v="0"/>
    <x v="19"/>
    <x v="3"/>
    <x v="4"/>
    <x v="1"/>
  </r>
  <r>
    <x v="742"/>
    <x v="6"/>
    <x v="1"/>
    <n v="105.7"/>
    <n v="211.4"/>
    <x v="31"/>
    <d v="2025-02-02T00:00:00"/>
    <x v="2"/>
    <x v="2"/>
    <x v="2"/>
    <x v="0"/>
    <x v="21"/>
    <x v="3"/>
    <x v="4"/>
    <x v="2"/>
  </r>
  <r>
    <x v="743"/>
    <x v="3"/>
    <x v="2"/>
    <n v="133.69999999999999"/>
    <n v="401.09999999999997"/>
    <x v="31"/>
    <d v="2025-02-02T00:00:00"/>
    <x v="0"/>
    <x v="4"/>
    <x v="2"/>
    <x v="0"/>
    <x v="21"/>
    <x v="3"/>
    <x v="4"/>
    <x v="0"/>
  </r>
  <r>
    <x v="744"/>
    <x v="4"/>
    <x v="9"/>
    <n v="46.8"/>
    <n v="234"/>
    <x v="32"/>
    <d v="2025-02-10T00:00:00"/>
    <x v="2"/>
    <x v="0"/>
    <x v="1"/>
    <x v="0"/>
    <x v="21"/>
    <x v="9"/>
    <x v="5"/>
    <x v="2"/>
  </r>
  <r>
    <x v="745"/>
    <x v="10"/>
    <x v="2"/>
    <n v="58.4"/>
    <n v="175.2"/>
    <x v="32"/>
    <d v="2025-02-04T00:00:00"/>
    <x v="2"/>
    <x v="0"/>
    <x v="0"/>
    <x v="0"/>
    <x v="1"/>
    <x v="1"/>
    <x v="5"/>
    <x v="2"/>
  </r>
  <r>
    <x v="746"/>
    <x v="6"/>
    <x v="11"/>
    <n v="65.099999999999994"/>
    <n v="585.9"/>
    <x v="32"/>
    <d v="2025-02-06T00:00:00"/>
    <x v="1"/>
    <x v="1"/>
    <x v="2"/>
    <x v="0"/>
    <x v="22"/>
    <x v="5"/>
    <x v="5"/>
    <x v="1"/>
  </r>
  <r>
    <x v="747"/>
    <x v="8"/>
    <x v="0"/>
    <n v="18.600000000000001"/>
    <n v="18.600000000000001"/>
    <x v="32"/>
    <d v="2025-02-05T00:00:00"/>
    <x v="2"/>
    <x v="0"/>
    <x v="4"/>
    <x v="0"/>
    <x v="22"/>
    <x v="2"/>
    <x v="5"/>
    <x v="2"/>
  </r>
  <r>
    <x v="748"/>
    <x v="1"/>
    <x v="5"/>
    <n v="92.3"/>
    <n v="1015.3"/>
    <x v="32"/>
    <d v="2025-02-04T00:00:00"/>
    <x v="1"/>
    <x v="1"/>
    <x v="0"/>
    <x v="0"/>
    <x v="3"/>
    <x v="1"/>
    <x v="5"/>
    <x v="1"/>
  </r>
  <r>
    <x v="749"/>
    <x v="6"/>
    <x v="2"/>
    <n v="81.7"/>
    <n v="245.10000000000002"/>
    <x v="32"/>
    <d v="2025-02-03T00:00:00"/>
    <x v="0"/>
    <x v="4"/>
    <x v="4"/>
    <x v="0"/>
    <x v="3"/>
    <x v="3"/>
    <x v="5"/>
    <x v="0"/>
  </r>
  <r>
    <x v="750"/>
    <x v="8"/>
    <x v="1"/>
    <n v="40.9"/>
    <n v="81.8"/>
    <x v="32"/>
    <d v="2025-02-04T00:00:00"/>
    <x v="1"/>
    <x v="0"/>
    <x v="1"/>
    <x v="0"/>
    <x v="3"/>
    <x v="1"/>
    <x v="5"/>
    <x v="1"/>
  </r>
  <r>
    <x v="751"/>
    <x v="6"/>
    <x v="12"/>
    <n v="43.2"/>
    <n v="172.8"/>
    <x v="32"/>
    <d v="2025-02-08T00:00:00"/>
    <x v="2"/>
    <x v="0"/>
    <x v="1"/>
    <x v="0"/>
    <x v="3"/>
    <x v="4"/>
    <x v="5"/>
    <x v="2"/>
  </r>
  <r>
    <x v="752"/>
    <x v="8"/>
    <x v="5"/>
    <n v="25.8"/>
    <n v="283.8"/>
    <x v="32"/>
    <d v="2025-02-05T00:00:00"/>
    <x v="1"/>
    <x v="2"/>
    <x v="1"/>
    <x v="0"/>
    <x v="3"/>
    <x v="2"/>
    <x v="5"/>
    <x v="1"/>
  </r>
  <r>
    <x v="753"/>
    <x v="15"/>
    <x v="12"/>
    <n v="36.4"/>
    <n v="145.6"/>
    <x v="32"/>
    <d v="2025-02-03T00:00:00"/>
    <x v="1"/>
    <x v="0"/>
    <x v="0"/>
    <x v="0"/>
    <x v="3"/>
    <x v="3"/>
    <x v="5"/>
    <x v="1"/>
  </r>
  <r>
    <x v="754"/>
    <x v="10"/>
    <x v="0"/>
    <n v="59.1"/>
    <n v="59.1"/>
    <x v="32"/>
    <d v="2025-02-03T00:00:00"/>
    <x v="2"/>
    <x v="2"/>
    <x v="0"/>
    <x v="0"/>
    <x v="7"/>
    <x v="3"/>
    <x v="5"/>
    <x v="2"/>
  </r>
  <r>
    <x v="755"/>
    <x v="2"/>
    <x v="14"/>
    <n v="74.5"/>
    <n v="1266.5"/>
    <x v="32"/>
    <d v="2025-02-04T00:00:00"/>
    <x v="1"/>
    <x v="4"/>
    <x v="0"/>
    <x v="0"/>
    <x v="18"/>
    <x v="1"/>
    <x v="5"/>
    <x v="1"/>
  </r>
  <r>
    <x v="756"/>
    <x v="5"/>
    <x v="0"/>
    <n v="72.8"/>
    <n v="72.8"/>
    <x v="32"/>
    <d v="2025-02-03T00:00:00"/>
    <x v="2"/>
    <x v="0"/>
    <x v="1"/>
    <x v="0"/>
    <x v="19"/>
    <x v="3"/>
    <x v="5"/>
    <x v="2"/>
  </r>
  <r>
    <x v="757"/>
    <x v="6"/>
    <x v="12"/>
    <n v="137.30000000000001"/>
    <n v="549.20000000000005"/>
    <x v="32"/>
    <d v="2025-02-05T00:00:00"/>
    <x v="2"/>
    <x v="0"/>
    <x v="0"/>
    <x v="0"/>
    <x v="13"/>
    <x v="2"/>
    <x v="5"/>
    <x v="2"/>
  </r>
  <r>
    <x v="758"/>
    <x v="1"/>
    <x v="2"/>
    <n v="48.7"/>
    <n v="146.10000000000002"/>
    <x v="32"/>
    <d v="2025-02-07T00:00:00"/>
    <x v="2"/>
    <x v="0"/>
    <x v="1"/>
    <x v="0"/>
    <x v="21"/>
    <x v="0"/>
    <x v="5"/>
    <x v="2"/>
  </r>
  <r>
    <x v="759"/>
    <x v="6"/>
    <x v="12"/>
    <n v="53.7"/>
    <n v="214.8"/>
    <x v="32"/>
    <d v="2025-02-06T00:00:00"/>
    <x v="1"/>
    <x v="1"/>
    <x v="4"/>
    <x v="0"/>
    <x v="2"/>
    <x v="5"/>
    <x v="5"/>
    <x v="1"/>
  </r>
  <r>
    <x v="760"/>
    <x v="2"/>
    <x v="3"/>
    <n v="100.9"/>
    <n v="706.30000000000007"/>
    <x v="32"/>
    <d v="2025-02-04T00:00:00"/>
    <x v="2"/>
    <x v="0"/>
    <x v="1"/>
    <x v="0"/>
    <x v="2"/>
    <x v="1"/>
    <x v="5"/>
    <x v="2"/>
  </r>
  <r>
    <x v="761"/>
    <x v="10"/>
    <x v="1"/>
    <n v="41.8"/>
    <n v="83.6"/>
    <x v="32"/>
    <d v="2025-02-06T00:00:00"/>
    <x v="1"/>
    <x v="3"/>
    <x v="2"/>
    <x v="0"/>
    <x v="22"/>
    <x v="5"/>
    <x v="5"/>
    <x v="1"/>
  </r>
  <r>
    <x v="762"/>
    <x v="4"/>
    <x v="8"/>
    <n v="28.5"/>
    <n v="228"/>
    <x v="32"/>
    <d v="2025-02-04T00:00:00"/>
    <x v="1"/>
    <x v="2"/>
    <x v="1"/>
    <x v="0"/>
    <x v="3"/>
    <x v="1"/>
    <x v="5"/>
    <x v="1"/>
  </r>
  <r>
    <x v="763"/>
    <x v="7"/>
    <x v="12"/>
    <n v="88.9"/>
    <n v="355.6"/>
    <x v="32"/>
    <d v="2025-02-05T00:00:00"/>
    <x v="2"/>
    <x v="0"/>
    <x v="2"/>
    <x v="0"/>
    <x v="3"/>
    <x v="2"/>
    <x v="5"/>
    <x v="2"/>
  </r>
  <r>
    <x v="764"/>
    <x v="6"/>
    <x v="0"/>
    <n v="62.5"/>
    <n v="62.5"/>
    <x v="32"/>
    <d v="2025-02-11T00:00:00"/>
    <x v="2"/>
    <x v="0"/>
    <x v="2"/>
    <x v="0"/>
    <x v="3"/>
    <x v="8"/>
    <x v="5"/>
    <x v="2"/>
  </r>
  <r>
    <x v="765"/>
    <x v="1"/>
    <x v="2"/>
    <n v="46.9"/>
    <n v="140.69999999999999"/>
    <x v="32"/>
    <d v="2025-02-03T00:00:00"/>
    <x v="1"/>
    <x v="0"/>
    <x v="2"/>
    <x v="0"/>
    <x v="3"/>
    <x v="3"/>
    <x v="5"/>
    <x v="1"/>
  </r>
  <r>
    <x v="766"/>
    <x v="8"/>
    <x v="2"/>
    <n v="45"/>
    <n v="135"/>
    <x v="32"/>
    <d v="2025-02-16T00:00:00"/>
    <x v="1"/>
    <x v="1"/>
    <x v="0"/>
    <x v="0"/>
    <x v="3"/>
    <x v="12"/>
    <x v="5"/>
    <x v="1"/>
  </r>
  <r>
    <x v="767"/>
    <x v="6"/>
    <x v="2"/>
    <n v="45.2"/>
    <n v="135.60000000000002"/>
    <x v="32"/>
    <d v="2025-02-04T00:00:00"/>
    <x v="1"/>
    <x v="4"/>
    <x v="2"/>
    <x v="0"/>
    <x v="3"/>
    <x v="1"/>
    <x v="5"/>
    <x v="1"/>
  </r>
  <r>
    <x v="768"/>
    <x v="4"/>
    <x v="1"/>
    <n v="60.1"/>
    <n v="120.2"/>
    <x v="32"/>
    <d v="2025-02-03T00:00:00"/>
    <x v="2"/>
    <x v="0"/>
    <x v="2"/>
    <x v="0"/>
    <x v="3"/>
    <x v="3"/>
    <x v="5"/>
    <x v="2"/>
  </r>
  <r>
    <x v="769"/>
    <x v="12"/>
    <x v="12"/>
    <n v="118.7"/>
    <n v="474.8"/>
    <x v="32"/>
    <d v="2025-02-04T00:00:00"/>
    <x v="2"/>
    <x v="0"/>
    <x v="0"/>
    <x v="0"/>
    <x v="3"/>
    <x v="1"/>
    <x v="5"/>
    <x v="2"/>
  </r>
  <r>
    <x v="770"/>
    <x v="9"/>
    <x v="0"/>
    <n v="57.8"/>
    <n v="57.8"/>
    <x v="32"/>
    <d v="2025-02-11T00:00:00"/>
    <x v="2"/>
    <x v="1"/>
    <x v="0"/>
    <x v="0"/>
    <x v="3"/>
    <x v="8"/>
    <x v="5"/>
    <x v="2"/>
  </r>
  <r>
    <x v="771"/>
    <x v="4"/>
    <x v="0"/>
    <n v="19.5"/>
    <n v="19.5"/>
    <x v="32"/>
    <d v="2025-02-03T00:00:00"/>
    <x v="1"/>
    <x v="1"/>
    <x v="1"/>
    <x v="0"/>
    <x v="3"/>
    <x v="3"/>
    <x v="5"/>
    <x v="1"/>
  </r>
  <r>
    <x v="772"/>
    <x v="12"/>
    <x v="0"/>
    <n v="42.6"/>
    <n v="42.6"/>
    <x v="32"/>
    <d v="2025-02-03T00:00:00"/>
    <x v="1"/>
    <x v="0"/>
    <x v="1"/>
    <x v="0"/>
    <x v="3"/>
    <x v="3"/>
    <x v="5"/>
    <x v="1"/>
  </r>
  <r>
    <x v="773"/>
    <x v="6"/>
    <x v="1"/>
    <n v="74.8"/>
    <n v="149.6"/>
    <x v="32"/>
    <d v="2025-02-03T00:00:00"/>
    <x v="2"/>
    <x v="3"/>
    <x v="2"/>
    <x v="0"/>
    <x v="37"/>
    <x v="3"/>
    <x v="5"/>
    <x v="2"/>
  </r>
  <r>
    <x v="774"/>
    <x v="8"/>
    <x v="2"/>
    <n v="32.5"/>
    <n v="97.5"/>
    <x v="32"/>
    <d v="2025-02-03T00:00:00"/>
    <x v="1"/>
    <x v="2"/>
    <x v="4"/>
    <x v="0"/>
    <x v="16"/>
    <x v="3"/>
    <x v="5"/>
    <x v="1"/>
  </r>
  <r>
    <x v="775"/>
    <x v="2"/>
    <x v="2"/>
    <n v="60.5"/>
    <n v="181.5"/>
    <x v="32"/>
    <d v="2025-02-02T00:00:00"/>
    <x v="2"/>
    <x v="1"/>
    <x v="2"/>
    <x v="0"/>
    <x v="25"/>
    <x v="7"/>
    <x v="5"/>
    <x v="2"/>
  </r>
  <r>
    <x v="776"/>
    <x v="1"/>
    <x v="3"/>
    <n v="57.2"/>
    <n v="400.40000000000003"/>
    <x v="32"/>
    <d v="2025-02-04T00:00:00"/>
    <x v="0"/>
    <x v="2"/>
    <x v="0"/>
    <x v="0"/>
    <x v="25"/>
    <x v="1"/>
    <x v="5"/>
    <x v="0"/>
  </r>
  <r>
    <x v="777"/>
    <x v="16"/>
    <x v="1"/>
    <n v="112"/>
    <n v="224"/>
    <x v="32"/>
    <d v="2025-02-03T00:00:00"/>
    <x v="2"/>
    <x v="1"/>
    <x v="1"/>
    <x v="0"/>
    <x v="5"/>
    <x v="3"/>
    <x v="5"/>
    <x v="2"/>
  </r>
  <r>
    <x v="778"/>
    <x v="7"/>
    <x v="7"/>
    <n v="49"/>
    <n v="490"/>
    <x v="32"/>
    <d v="2025-02-03T00:00:00"/>
    <x v="3"/>
    <x v="2"/>
    <x v="1"/>
    <x v="0"/>
    <x v="6"/>
    <x v="3"/>
    <x v="5"/>
    <x v="3"/>
  </r>
  <r>
    <x v="779"/>
    <x v="0"/>
    <x v="1"/>
    <n v="33.700000000000003"/>
    <n v="67.400000000000006"/>
    <x v="32"/>
    <d v="2025-02-06T00:00:00"/>
    <x v="2"/>
    <x v="3"/>
    <x v="0"/>
    <x v="0"/>
    <x v="6"/>
    <x v="5"/>
    <x v="5"/>
    <x v="2"/>
  </r>
  <r>
    <x v="780"/>
    <x v="4"/>
    <x v="2"/>
    <n v="35.6"/>
    <n v="106.80000000000001"/>
    <x v="32"/>
    <d v="2025-02-05T00:00:00"/>
    <x v="2"/>
    <x v="0"/>
    <x v="2"/>
    <x v="0"/>
    <x v="6"/>
    <x v="2"/>
    <x v="5"/>
    <x v="2"/>
  </r>
  <r>
    <x v="781"/>
    <x v="4"/>
    <x v="36"/>
    <n v="30.4"/>
    <n v="1064"/>
    <x v="33"/>
    <d v="2025-02-03T00:00:00"/>
    <x v="2"/>
    <x v="0"/>
    <x v="1"/>
    <x v="0"/>
    <x v="7"/>
    <x v="7"/>
    <x v="5"/>
    <x v="2"/>
  </r>
  <r>
    <x v="782"/>
    <x v="10"/>
    <x v="4"/>
    <n v="50.2"/>
    <n v="602.40000000000009"/>
    <x v="33"/>
    <d v="2025-02-04T00:00:00"/>
    <x v="1"/>
    <x v="4"/>
    <x v="0"/>
    <x v="0"/>
    <x v="8"/>
    <x v="3"/>
    <x v="5"/>
    <x v="1"/>
  </r>
  <r>
    <x v="783"/>
    <x v="1"/>
    <x v="1"/>
    <n v="43.7"/>
    <n v="87.4"/>
    <x v="33"/>
    <d v="2025-02-05T00:00:00"/>
    <x v="2"/>
    <x v="0"/>
    <x v="0"/>
    <x v="0"/>
    <x v="8"/>
    <x v="1"/>
    <x v="5"/>
    <x v="2"/>
  </r>
  <r>
    <x v="784"/>
    <x v="10"/>
    <x v="0"/>
    <n v="33.299999999999997"/>
    <n v="33.299999999999997"/>
    <x v="33"/>
    <d v="2025-02-04T00:00:00"/>
    <x v="2"/>
    <x v="2"/>
    <x v="1"/>
    <x v="0"/>
    <x v="8"/>
    <x v="3"/>
    <x v="5"/>
    <x v="2"/>
  </r>
  <r>
    <x v="785"/>
    <x v="8"/>
    <x v="12"/>
    <n v="15.1"/>
    <n v="60.4"/>
    <x v="33"/>
    <d v="2025-02-05T00:00:00"/>
    <x v="2"/>
    <x v="4"/>
    <x v="2"/>
    <x v="0"/>
    <x v="8"/>
    <x v="1"/>
    <x v="5"/>
    <x v="2"/>
  </r>
  <r>
    <x v="786"/>
    <x v="6"/>
    <x v="9"/>
    <n v="118.2"/>
    <n v="591"/>
    <x v="33"/>
    <d v="2025-02-04T00:00:00"/>
    <x v="2"/>
    <x v="3"/>
    <x v="4"/>
    <x v="0"/>
    <x v="8"/>
    <x v="3"/>
    <x v="5"/>
    <x v="2"/>
  </r>
  <r>
    <x v="787"/>
    <x v="10"/>
    <x v="2"/>
    <n v="28.9"/>
    <n v="86.699999999999989"/>
    <x v="33"/>
    <d v="2025-02-05T00:00:00"/>
    <x v="2"/>
    <x v="2"/>
    <x v="1"/>
    <x v="0"/>
    <x v="8"/>
    <x v="1"/>
    <x v="5"/>
    <x v="2"/>
  </r>
  <r>
    <x v="788"/>
    <x v="4"/>
    <x v="2"/>
    <n v="55.6"/>
    <n v="166.8"/>
    <x v="33"/>
    <d v="2025-02-04T00:00:00"/>
    <x v="1"/>
    <x v="0"/>
    <x v="1"/>
    <x v="0"/>
    <x v="8"/>
    <x v="3"/>
    <x v="5"/>
    <x v="1"/>
  </r>
  <r>
    <x v="789"/>
    <x v="9"/>
    <x v="12"/>
    <n v="25.6"/>
    <n v="102.4"/>
    <x v="33"/>
    <d v="2025-02-05T00:00:00"/>
    <x v="2"/>
    <x v="0"/>
    <x v="1"/>
    <x v="0"/>
    <x v="8"/>
    <x v="1"/>
    <x v="5"/>
    <x v="2"/>
  </r>
  <r>
    <x v="790"/>
    <x v="7"/>
    <x v="2"/>
    <n v="31.3"/>
    <n v="93.9"/>
    <x v="33"/>
    <d v="2025-02-04T00:00:00"/>
    <x v="1"/>
    <x v="0"/>
    <x v="0"/>
    <x v="0"/>
    <x v="17"/>
    <x v="3"/>
    <x v="5"/>
    <x v="1"/>
  </r>
  <r>
    <x v="791"/>
    <x v="0"/>
    <x v="2"/>
    <n v="22.1"/>
    <n v="66.300000000000011"/>
    <x v="33"/>
    <d v="2025-02-07T00:00:00"/>
    <x v="1"/>
    <x v="0"/>
    <x v="0"/>
    <x v="0"/>
    <x v="17"/>
    <x v="5"/>
    <x v="5"/>
    <x v="1"/>
  </r>
  <r>
    <x v="792"/>
    <x v="2"/>
    <x v="21"/>
    <n v="99.4"/>
    <n v="1391.6000000000001"/>
    <x v="33"/>
    <d v="2025-02-04T00:00:00"/>
    <x v="1"/>
    <x v="1"/>
    <x v="0"/>
    <x v="0"/>
    <x v="11"/>
    <x v="3"/>
    <x v="5"/>
    <x v="1"/>
  </r>
  <r>
    <x v="793"/>
    <x v="7"/>
    <x v="13"/>
    <n v="66.599999999999994"/>
    <n v="399.59999999999997"/>
    <x v="33"/>
    <d v="2025-02-04T00:00:00"/>
    <x v="2"/>
    <x v="0"/>
    <x v="0"/>
    <x v="0"/>
    <x v="11"/>
    <x v="3"/>
    <x v="5"/>
    <x v="2"/>
  </r>
  <r>
    <x v="794"/>
    <x v="8"/>
    <x v="1"/>
    <n v="22.6"/>
    <n v="45.2"/>
    <x v="33"/>
    <d v="2025-02-06T00:00:00"/>
    <x v="1"/>
    <x v="0"/>
    <x v="0"/>
    <x v="0"/>
    <x v="11"/>
    <x v="2"/>
    <x v="5"/>
    <x v="1"/>
  </r>
  <r>
    <x v="795"/>
    <x v="2"/>
    <x v="16"/>
    <n v="66.8"/>
    <n v="1202.3999999999999"/>
    <x v="33"/>
    <d v="2025-02-04T00:00:00"/>
    <x v="2"/>
    <x v="0"/>
    <x v="4"/>
    <x v="0"/>
    <x v="13"/>
    <x v="3"/>
    <x v="5"/>
    <x v="2"/>
  </r>
  <r>
    <x v="796"/>
    <x v="0"/>
    <x v="12"/>
    <n v="20.8"/>
    <n v="83.2"/>
    <x v="33"/>
    <d v="2025-02-10T00:00:00"/>
    <x v="1"/>
    <x v="1"/>
    <x v="4"/>
    <x v="0"/>
    <x v="1"/>
    <x v="6"/>
    <x v="5"/>
    <x v="1"/>
  </r>
  <r>
    <x v="797"/>
    <x v="2"/>
    <x v="3"/>
    <n v="102.5"/>
    <n v="717.5"/>
    <x v="33"/>
    <d v="2025-02-04T00:00:00"/>
    <x v="2"/>
    <x v="4"/>
    <x v="2"/>
    <x v="0"/>
    <x v="3"/>
    <x v="3"/>
    <x v="5"/>
    <x v="2"/>
  </r>
  <r>
    <x v="798"/>
    <x v="0"/>
    <x v="16"/>
    <n v="24.8"/>
    <n v="446.40000000000003"/>
    <x v="33"/>
    <d v="2025-02-07T00:00:00"/>
    <x v="2"/>
    <x v="0"/>
    <x v="0"/>
    <x v="0"/>
    <x v="3"/>
    <x v="5"/>
    <x v="5"/>
    <x v="2"/>
  </r>
  <r>
    <x v="799"/>
    <x v="4"/>
    <x v="37"/>
    <n v="31.4"/>
    <n v="973.4"/>
    <x v="33"/>
    <d v="2025-02-04T00:00:00"/>
    <x v="2"/>
    <x v="3"/>
    <x v="0"/>
    <x v="0"/>
    <x v="3"/>
    <x v="3"/>
    <x v="5"/>
    <x v="2"/>
  </r>
  <r>
    <x v="800"/>
    <x v="9"/>
    <x v="9"/>
    <n v="59.3"/>
    <n v="296.5"/>
    <x v="33"/>
    <d v="2025-02-06T00:00:00"/>
    <x v="1"/>
    <x v="1"/>
    <x v="2"/>
    <x v="0"/>
    <x v="43"/>
    <x v="2"/>
    <x v="5"/>
    <x v="1"/>
  </r>
  <r>
    <x v="801"/>
    <x v="11"/>
    <x v="13"/>
    <n v="39"/>
    <n v="234"/>
    <x v="33"/>
    <d v="2025-02-06T00:00:00"/>
    <x v="1"/>
    <x v="1"/>
    <x v="0"/>
    <x v="0"/>
    <x v="6"/>
    <x v="2"/>
    <x v="5"/>
    <x v="1"/>
  </r>
  <r>
    <x v="802"/>
    <x v="5"/>
    <x v="13"/>
    <n v="98.6"/>
    <n v="591.59999999999991"/>
    <x v="33"/>
    <d v="2025-02-05T00:00:00"/>
    <x v="2"/>
    <x v="1"/>
    <x v="0"/>
    <x v="0"/>
    <x v="6"/>
    <x v="1"/>
    <x v="5"/>
    <x v="2"/>
  </r>
  <r>
    <x v="803"/>
    <x v="8"/>
    <x v="0"/>
    <n v="20"/>
    <n v="20"/>
    <x v="34"/>
    <d v="2025-02-05T00:00:00"/>
    <x v="1"/>
    <x v="3"/>
    <x v="2"/>
    <x v="0"/>
    <x v="8"/>
    <x v="3"/>
    <x v="5"/>
    <x v="1"/>
  </r>
  <r>
    <x v="804"/>
    <x v="1"/>
    <x v="1"/>
    <n v="42.9"/>
    <n v="85.8"/>
    <x v="34"/>
    <d v="2025-02-06T00:00:00"/>
    <x v="2"/>
    <x v="0"/>
    <x v="2"/>
    <x v="0"/>
    <x v="8"/>
    <x v="1"/>
    <x v="5"/>
    <x v="2"/>
  </r>
  <r>
    <x v="805"/>
    <x v="7"/>
    <x v="3"/>
    <n v="55.6"/>
    <n v="389.2"/>
    <x v="34"/>
    <d v="2025-02-06T00:00:00"/>
    <x v="2"/>
    <x v="2"/>
    <x v="1"/>
    <x v="0"/>
    <x v="8"/>
    <x v="1"/>
    <x v="5"/>
    <x v="2"/>
  </r>
  <r>
    <x v="806"/>
    <x v="8"/>
    <x v="12"/>
    <n v="19.2"/>
    <n v="76.8"/>
    <x v="34"/>
    <d v="2025-02-09T00:00:00"/>
    <x v="2"/>
    <x v="0"/>
    <x v="0"/>
    <x v="0"/>
    <x v="41"/>
    <x v="0"/>
    <x v="5"/>
    <x v="2"/>
  </r>
  <r>
    <x v="807"/>
    <x v="5"/>
    <x v="1"/>
    <n v="28.8"/>
    <n v="57.6"/>
    <x v="34"/>
    <d v="2025-02-06T00:00:00"/>
    <x v="1"/>
    <x v="1"/>
    <x v="0"/>
    <x v="0"/>
    <x v="18"/>
    <x v="1"/>
    <x v="5"/>
    <x v="1"/>
  </r>
  <r>
    <x v="808"/>
    <x v="4"/>
    <x v="0"/>
    <n v="29.7"/>
    <n v="29.7"/>
    <x v="34"/>
    <d v="2025-02-06T00:00:00"/>
    <x v="2"/>
    <x v="2"/>
    <x v="4"/>
    <x v="0"/>
    <x v="20"/>
    <x v="1"/>
    <x v="5"/>
    <x v="2"/>
  </r>
  <r>
    <x v="809"/>
    <x v="6"/>
    <x v="13"/>
    <n v="63.3"/>
    <n v="379.79999999999995"/>
    <x v="34"/>
    <d v="2025-02-05T00:00:00"/>
    <x v="0"/>
    <x v="0"/>
    <x v="2"/>
    <x v="0"/>
    <x v="21"/>
    <x v="3"/>
    <x v="5"/>
    <x v="0"/>
  </r>
  <r>
    <x v="810"/>
    <x v="4"/>
    <x v="0"/>
    <n v="46"/>
    <n v="46"/>
    <x v="34"/>
    <d v="2025-02-05T00:00:00"/>
    <x v="2"/>
    <x v="0"/>
    <x v="2"/>
    <x v="0"/>
    <x v="21"/>
    <x v="3"/>
    <x v="5"/>
    <x v="2"/>
  </r>
  <r>
    <x v="811"/>
    <x v="11"/>
    <x v="2"/>
    <n v="38"/>
    <n v="114"/>
    <x v="34"/>
    <d v="2025-02-06T00:00:00"/>
    <x v="2"/>
    <x v="1"/>
    <x v="2"/>
    <x v="0"/>
    <x v="21"/>
    <x v="1"/>
    <x v="5"/>
    <x v="2"/>
  </r>
  <r>
    <x v="812"/>
    <x v="10"/>
    <x v="15"/>
    <n v="34.6"/>
    <n v="449.8"/>
    <x v="34"/>
    <d v="2025-02-06T00:00:00"/>
    <x v="2"/>
    <x v="0"/>
    <x v="1"/>
    <x v="0"/>
    <x v="21"/>
    <x v="1"/>
    <x v="5"/>
    <x v="2"/>
  </r>
  <r>
    <x v="813"/>
    <x v="3"/>
    <x v="7"/>
    <n v="79.7"/>
    <n v="797"/>
    <x v="34"/>
    <d v="2025-02-05T00:00:00"/>
    <x v="2"/>
    <x v="4"/>
    <x v="1"/>
    <x v="0"/>
    <x v="21"/>
    <x v="3"/>
    <x v="5"/>
    <x v="2"/>
  </r>
  <r>
    <x v="814"/>
    <x v="8"/>
    <x v="8"/>
    <n v="30.5"/>
    <n v="244"/>
    <x v="34"/>
    <d v="2025-02-08T00:00:00"/>
    <x v="1"/>
    <x v="3"/>
    <x v="0"/>
    <x v="0"/>
    <x v="1"/>
    <x v="5"/>
    <x v="5"/>
    <x v="1"/>
  </r>
  <r>
    <x v="815"/>
    <x v="0"/>
    <x v="1"/>
    <n v="20.8"/>
    <n v="41.6"/>
    <x v="34"/>
    <d v="2025-02-05T00:00:00"/>
    <x v="2"/>
    <x v="0"/>
    <x v="0"/>
    <x v="0"/>
    <x v="2"/>
    <x v="3"/>
    <x v="5"/>
    <x v="2"/>
  </r>
  <r>
    <x v="816"/>
    <x v="11"/>
    <x v="3"/>
    <n v="48.5"/>
    <n v="339.5"/>
    <x v="34"/>
    <d v="2025-02-08T00:00:00"/>
    <x v="2"/>
    <x v="2"/>
    <x v="2"/>
    <x v="0"/>
    <x v="2"/>
    <x v="5"/>
    <x v="5"/>
    <x v="2"/>
  </r>
  <r>
    <x v="817"/>
    <x v="2"/>
    <x v="12"/>
    <n v="61.8"/>
    <n v="247.2"/>
    <x v="34"/>
    <d v="2025-02-08T00:00:00"/>
    <x v="2"/>
    <x v="4"/>
    <x v="0"/>
    <x v="0"/>
    <x v="22"/>
    <x v="5"/>
    <x v="5"/>
    <x v="2"/>
  </r>
  <r>
    <x v="818"/>
    <x v="10"/>
    <x v="0"/>
    <n v="46.1"/>
    <n v="46.1"/>
    <x v="34"/>
    <d v="2025-02-05T00:00:00"/>
    <x v="3"/>
    <x v="2"/>
    <x v="0"/>
    <x v="0"/>
    <x v="3"/>
    <x v="3"/>
    <x v="5"/>
    <x v="3"/>
  </r>
  <r>
    <x v="819"/>
    <x v="4"/>
    <x v="13"/>
    <n v="44"/>
    <n v="264"/>
    <x v="34"/>
    <d v="2025-02-05T00:00:00"/>
    <x v="2"/>
    <x v="0"/>
    <x v="0"/>
    <x v="0"/>
    <x v="3"/>
    <x v="3"/>
    <x v="5"/>
    <x v="2"/>
  </r>
  <r>
    <x v="820"/>
    <x v="18"/>
    <x v="1"/>
    <n v="95.7"/>
    <n v="191.4"/>
    <x v="34"/>
    <d v="2025-02-10T00:00:00"/>
    <x v="2"/>
    <x v="3"/>
    <x v="2"/>
    <x v="0"/>
    <x v="3"/>
    <x v="4"/>
    <x v="5"/>
    <x v="2"/>
  </r>
  <r>
    <x v="821"/>
    <x v="7"/>
    <x v="9"/>
    <n v="46.4"/>
    <n v="232"/>
    <x v="34"/>
    <d v="2025-02-07T00:00:00"/>
    <x v="2"/>
    <x v="0"/>
    <x v="0"/>
    <x v="0"/>
    <x v="3"/>
    <x v="2"/>
    <x v="5"/>
    <x v="2"/>
  </r>
  <r>
    <x v="822"/>
    <x v="6"/>
    <x v="1"/>
    <n v="47.2"/>
    <n v="94.4"/>
    <x v="34"/>
    <d v="2025-02-06T00:00:00"/>
    <x v="2"/>
    <x v="0"/>
    <x v="2"/>
    <x v="0"/>
    <x v="3"/>
    <x v="1"/>
    <x v="5"/>
    <x v="2"/>
  </r>
  <r>
    <x v="823"/>
    <x v="7"/>
    <x v="1"/>
    <n v="58.6"/>
    <n v="117.2"/>
    <x v="34"/>
    <d v="2025-02-05T00:00:00"/>
    <x v="2"/>
    <x v="2"/>
    <x v="1"/>
    <x v="0"/>
    <x v="3"/>
    <x v="3"/>
    <x v="5"/>
    <x v="2"/>
  </r>
  <r>
    <x v="824"/>
    <x v="4"/>
    <x v="2"/>
    <n v="57"/>
    <n v="171"/>
    <x v="34"/>
    <d v="2025-02-05T00:00:00"/>
    <x v="1"/>
    <x v="0"/>
    <x v="2"/>
    <x v="0"/>
    <x v="3"/>
    <x v="3"/>
    <x v="5"/>
    <x v="1"/>
  </r>
  <r>
    <x v="825"/>
    <x v="8"/>
    <x v="12"/>
    <n v="28.9"/>
    <n v="115.6"/>
    <x v="34"/>
    <d v="2025-02-08T00:00:00"/>
    <x v="1"/>
    <x v="2"/>
    <x v="0"/>
    <x v="0"/>
    <x v="3"/>
    <x v="5"/>
    <x v="5"/>
    <x v="1"/>
  </r>
  <r>
    <x v="826"/>
    <x v="12"/>
    <x v="9"/>
    <n v="60.7"/>
    <n v="303.5"/>
    <x v="34"/>
    <d v="2025-02-08T00:00:00"/>
    <x v="0"/>
    <x v="1"/>
    <x v="1"/>
    <x v="0"/>
    <x v="3"/>
    <x v="5"/>
    <x v="5"/>
    <x v="0"/>
  </r>
  <r>
    <x v="827"/>
    <x v="6"/>
    <x v="9"/>
    <n v="60.8"/>
    <n v="304"/>
    <x v="34"/>
    <d v="2025-02-08T00:00:00"/>
    <x v="1"/>
    <x v="0"/>
    <x v="1"/>
    <x v="0"/>
    <x v="3"/>
    <x v="5"/>
    <x v="5"/>
    <x v="1"/>
  </r>
  <r>
    <x v="828"/>
    <x v="6"/>
    <x v="9"/>
    <n v="64.599999999999994"/>
    <n v="323"/>
    <x v="34"/>
    <d v="2025-02-05T00:00:00"/>
    <x v="2"/>
    <x v="3"/>
    <x v="0"/>
    <x v="0"/>
    <x v="3"/>
    <x v="3"/>
    <x v="5"/>
    <x v="2"/>
  </r>
  <r>
    <x v="829"/>
    <x v="8"/>
    <x v="0"/>
    <n v="21.9"/>
    <n v="21.9"/>
    <x v="34"/>
    <d v="2025-02-07T00:00:00"/>
    <x v="1"/>
    <x v="1"/>
    <x v="2"/>
    <x v="0"/>
    <x v="4"/>
    <x v="2"/>
    <x v="5"/>
    <x v="1"/>
  </r>
  <r>
    <x v="830"/>
    <x v="4"/>
    <x v="4"/>
    <n v="33.4"/>
    <n v="400.79999999999995"/>
    <x v="34"/>
    <d v="2025-02-06T00:00:00"/>
    <x v="2"/>
    <x v="0"/>
    <x v="0"/>
    <x v="0"/>
    <x v="23"/>
    <x v="1"/>
    <x v="5"/>
    <x v="2"/>
  </r>
  <r>
    <x v="831"/>
    <x v="2"/>
    <x v="0"/>
    <n v="51.7"/>
    <n v="51.7"/>
    <x v="34"/>
    <d v="2025-02-05T00:00:00"/>
    <x v="0"/>
    <x v="0"/>
    <x v="0"/>
    <x v="0"/>
    <x v="6"/>
    <x v="3"/>
    <x v="5"/>
    <x v="0"/>
  </r>
  <r>
    <x v="832"/>
    <x v="1"/>
    <x v="12"/>
    <n v="84.9"/>
    <n v="339.6"/>
    <x v="34"/>
    <d v="2025-02-05T00:00:00"/>
    <x v="2"/>
    <x v="1"/>
    <x v="1"/>
    <x v="0"/>
    <x v="6"/>
    <x v="3"/>
    <x v="5"/>
    <x v="2"/>
  </r>
  <r>
    <x v="833"/>
    <x v="1"/>
    <x v="5"/>
    <n v="62.3"/>
    <n v="685.3"/>
    <x v="34"/>
    <d v="2025-02-05T00:00:00"/>
    <x v="2"/>
    <x v="2"/>
    <x v="2"/>
    <x v="0"/>
    <x v="7"/>
    <x v="3"/>
    <x v="5"/>
    <x v="2"/>
  </r>
  <r>
    <x v="834"/>
    <x v="4"/>
    <x v="0"/>
    <n v="50.7"/>
    <n v="50.7"/>
    <x v="34"/>
    <d v="2025-02-06T00:00:00"/>
    <x v="1"/>
    <x v="2"/>
    <x v="2"/>
    <x v="0"/>
    <x v="8"/>
    <x v="1"/>
    <x v="5"/>
    <x v="1"/>
  </r>
  <r>
    <x v="835"/>
    <x v="18"/>
    <x v="0"/>
    <n v="39.5"/>
    <n v="39.5"/>
    <x v="34"/>
    <d v="2025-02-05T00:00:00"/>
    <x v="1"/>
    <x v="4"/>
    <x v="1"/>
    <x v="0"/>
    <x v="8"/>
    <x v="3"/>
    <x v="5"/>
    <x v="1"/>
  </r>
  <r>
    <x v="836"/>
    <x v="12"/>
    <x v="2"/>
    <n v="30.9"/>
    <n v="92.699999999999989"/>
    <x v="34"/>
    <d v="2025-02-05T00:00:00"/>
    <x v="0"/>
    <x v="4"/>
    <x v="2"/>
    <x v="0"/>
    <x v="8"/>
    <x v="3"/>
    <x v="5"/>
    <x v="0"/>
  </r>
  <r>
    <x v="837"/>
    <x v="1"/>
    <x v="3"/>
    <n v="36.4"/>
    <n v="254.79999999999998"/>
    <x v="34"/>
    <d v="2025-02-07T00:00:00"/>
    <x v="2"/>
    <x v="0"/>
    <x v="2"/>
    <x v="0"/>
    <x v="8"/>
    <x v="2"/>
    <x v="5"/>
    <x v="2"/>
  </r>
  <r>
    <x v="838"/>
    <x v="6"/>
    <x v="8"/>
    <n v="105.6"/>
    <n v="844.8"/>
    <x v="34"/>
    <d v="2025-02-14T00:00:00"/>
    <x v="2"/>
    <x v="0"/>
    <x v="0"/>
    <x v="0"/>
    <x v="8"/>
    <x v="14"/>
    <x v="5"/>
    <x v="2"/>
  </r>
  <r>
    <x v="839"/>
    <x v="8"/>
    <x v="1"/>
    <n v="22.1"/>
    <n v="44.2"/>
    <x v="34"/>
    <d v="2025-02-05T00:00:00"/>
    <x v="2"/>
    <x v="0"/>
    <x v="2"/>
    <x v="0"/>
    <x v="17"/>
    <x v="3"/>
    <x v="5"/>
    <x v="2"/>
  </r>
  <r>
    <x v="840"/>
    <x v="0"/>
    <x v="2"/>
    <n v="22.6"/>
    <n v="67.800000000000011"/>
    <x v="34"/>
    <d v="2025-02-05T00:00:00"/>
    <x v="2"/>
    <x v="2"/>
    <x v="0"/>
    <x v="0"/>
    <x v="17"/>
    <x v="3"/>
    <x v="5"/>
    <x v="2"/>
  </r>
  <r>
    <x v="841"/>
    <x v="10"/>
    <x v="13"/>
    <n v="26.3"/>
    <n v="157.80000000000001"/>
    <x v="34"/>
    <d v="2025-02-04T00:00:00"/>
    <x v="2"/>
    <x v="2"/>
    <x v="0"/>
    <x v="0"/>
    <x v="9"/>
    <x v="7"/>
    <x v="5"/>
    <x v="2"/>
  </r>
  <r>
    <x v="842"/>
    <x v="1"/>
    <x v="12"/>
    <n v="37.799999999999997"/>
    <n v="151.19999999999999"/>
    <x v="34"/>
    <d v="2025-02-05T00:00:00"/>
    <x v="2"/>
    <x v="0"/>
    <x v="2"/>
    <x v="0"/>
    <x v="11"/>
    <x v="3"/>
    <x v="5"/>
    <x v="2"/>
  </r>
  <r>
    <x v="843"/>
    <x v="6"/>
    <x v="14"/>
    <n v="96"/>
    <n v="1632"/>
    <x v="34"/>
    <d v="2025-02-07T00:00:00"/>
    <x v="2"/>
    <x v="4"/>
    <x v="1"/>
    <x v="0"/>
    <x v="18"/>
    <x v="2"/>
    <x v="5"/>
    <x v="2"/>
  </r>
  <r>
    <x v="844"/>
    <x v="1"/>
    <x v="0"/>
    <n v="83.6"/>
    <n v="83.6"/>
    <x v="34"/>
    <d v="2025-02-07T00:00:00"/>
    <x v="2"/>
    <x v="2"/>
    <x v="1"/>
    <x v="0"/>
    <x v="19"/>
    <x v="2"/>
    <x v="5"/>
    <x v="2"/>
  </r>
  <r>
    <x v="845"/>
    <x v="2"/>
    <x v="13"/>
    <n v="72.599999999999994"/>
    <n v="435.59999999999997"/>
    <x v="34"/>
    <d v="2025-02-05T00:00:00"/>
    <x v="2"/>
    <x v="0"/>
    <x v="0"/>
    <x v="0"/>
    <x v="21"/>
    <x v="3"/>
    <x v="5"/>
    <x v="2"/>
  </r>
  <r>
    <x v="846"/>
    <x v="5"/>
    <x v="28"/>
    <n v="69.099999999999994"/>
    <n v="1382"/>
    <x v="35"/>
    <d v="2025-02-11T00:00:00"/>
    <x v="1"/>
    <x v="0"/>
    <x v="2"/>
    <x v="0"/>
    <x v="21"/>
    <x v="4"/>
    <x v="5"/>
    <x v="1"/>
  </r>
  <r>
    <x v="847"/>
    <x v="4"/>
    <x v="1"/>
    <n v="22.6"/>
    <n v="45.2"/>
    <x v="35"/>
    <d v="2025-02-07T00:00:00"/>
    <x v="2"/>
    <x v="1"/>
    <x v="2"/>
    <x v="0"/>
    <x v="21"/>
    <x v="1"/>
    <x v="5"/>
    <x v="2"/>
  </r>
  <r>
    <x v="848"/>
    <x v="6"/>
    <x v="1"/>
    <n v="45.3"/>
    <n v="90.6"/>
    <x v="35"/>
    <d v="2025-02-09T00:00:00"/>
    <x v="1"/>
    <x v="4"/>
    <x v="2"/>
    <x v="0"/>
    <x v="21"/>
    <x v="5"/>
    <x v="5"/>
    <x v="1"/>
  </r>
  <r>
    <x v="849"/>
    <x v="2"/>
    <x v="1"/>
    <n v="115.1"/>
    <n v="230.2"/>
    <x v="35"/>
    <d v="2025-02-06T00:00:00"/>
    <x v="2"/>
    <x v="1"/>
    <x v="0"/>
    <x v="0"/>
    <x v="1"/>
    <x v="3"/>
    <x v="5"/>
    <x v="2"/>
  </r>
  <r>
    <x v="850"/>
    <x v="18"/>
    <x v="12"/>
    <n v="79"/>
    <n v="316"/>
    <x v="35"/>
    <d v="2025-02-07T00:00:00"/>
    <x v="1"/>
    <x v="2"/>
    <x v="4"/>
    <x v="0"/>
    <x v="1"/>
    <x v="1"/>
    <x v="5"/>
    <x v="1"/>
  </r>
  <r>
    <x v="851"/>
    <x v="6"/>
    <x v="9"/>
    <n v="52.8"/>
    <n v="264"/>
    <x v="35"/>
    <d v="2025-02-06T00:00:00"/>
    <x v="2"/>
    <x v="0"/>
    <x v="0"/>
    <x v="0"/>
    <x v="42"/>
    <x v="3"/>
    <x v="5"/>
    <x v="2"/>
  </r>
  <r>
    <x v="852"/>
    <x v="8"/>
    <x v="1"/>
    <n v="34.1"/>
    <n v="68.2"/>
    <x v="35"/>
    <d v="2025-02-06T00:00:00"/>
    <x v="1"/>
    <x v="3"/>
    <x v="2"/>
    <x v="0"/>
    <x v="44"/>
    <x v="3"/>
    <x v="5"/>
    <x v="1"/>
  </r>
  <r>
    <x v="853"/>
    <x v="6"/>
    <x v="9"/>
    <n v="107.9"/>
    <n v="539.5"/>
    <x v="35"/>
    <d v="2025-02-05T00:00:00"/>
    <x v="2"/>
    <x v="0"/>
    <x v="2"/>
    <x v="0"/>
    <x v="50"/>
    <x v="7"/>
    <x v="5"/>
    <x v="2"/>
  </r>
  <r>
    <x v="854"/>
    <x v="8"/>
    <x v="15"/>
    <n v="48.5"/>
    <n v="630.5"/>
    <x v="35"/>
    <d v="2025-02-05T00:00:00"/>
    <x v="1"/>
    <x v="2"/>
    <x v="2"/>
    <x v="0"/>
    <x v="3"/>
    <x v="7"/>
    <x v="5"/>
    <x v="1"/>
  </r>
  <r>
    <x v="855"/>
    <x v="5"/>
    <x v="2"/>
    <n v="34.700000000000003"/>
    <n v="104.10000000000001"/>
    <x v="35"/>
    <d v="2025-02-06T00:00:00"/>
    <x v="0"/>
    <x v="4"/>
    <x v="1"/>
    <x v="0"/>
    <x v="3"/>
    <x v="3"/>
    <x v="5"/>
    <x v="0"/>
  </r>
  <r>
    <x v="856"/>
    <x v="8"/>
    <x v="0"/>
    <n v="16.8"/>
    <n v="16.8"/>
    <x v="35"/>
    <d v="2025-02-07T00:00:00"/>
    <x v="2"/>
    <x v="3"/>
    <x v="0"/>
    <x v="0"/>
    <x v="3"/>
    <x v="1"/>
    <x v="5"/>
    <x v="2"/>
  </r>
  <r>
    <x v="857"/>
    <x v="8"/>
    <x v="13"/>
    <n v="18.3"/>
    <n v="109.80000000000001"/>
    <x v="35"/>
    <d v="2025-02-08T00:00:00"/>
    <x v="2"/>
    <x v="0"/>
    <x v="0"/>
    <x v="0"/>
    <x v="3"/>
    <x v="2"/>
    <x v="5"/>
    <x v="2"/>
  </r>
  <r>
    <x v="858"/>
    <x v="18"/>
    <x v="2"/>
    <n v="55.9"/>
    <n v="167.7"/>
    <x v="35"/>
    <d v="2025-02-11T00:00:00"/>
    <x v="1"/>
    <x v="3"/>
    <x v="1"/>
    <x v="0"/>
    <x v="3"/>
    <x v="4"/>
    <x v="5"/>
    <x v="1"/>
  </r>
  <r>
    <x v="859"/>
    <x v="8"/>
    <x v="2"/>
    <n v="39.200000000000003"/>
    <n v="117.60000000000001"/>
    <x v="35"/>
    <d v="2025-02-07T00:00:00"/>
    <x v="2"/>
    <x v="0"/>
    <x v="1"/>
    <x v="0"/>
    <x v="3"/>
    <x v="1"/>
    <x v="5"/>
    <x v="2"/>
  </r>
  <r>
    <x v="860"/>
    <x v="15"/>
    <x v="12"/>
    <n v="66.5"/>
    <n v="266"/>
    <x v="35"/>
    <d v="2025-02-07T00:00:00"/>
    <x v="0"/>
    <x v="3"/>
    <x v="1"/>
    <x v="0"/>
    <x v="3"/>
    <x v="1"/>
    <x v="5"/>
    <x v="0"/>
  </r>
  <r>
    <x v="861"/>
    <x v="6"/>
    <x v="13"/>
    <n v="52.1"/>
    <n v="312.60000000000002"/>
    <x v="35"/>
    <d v="2025-02-07T00:00:00"/>
    <x v="1"/>
    <x v="1"/>
    <x v="1"/>
    <x v="0"/>
    <x v="16"/>
    <x v="1"/>
    <x v="5"/>
    <x v="1"/>
  </r>
  <r>
    <x v="862"/>
    <x v="8"/>
    <x v="1"/>
    <n v="19"/>
    <n v="38"/>
    <x v="35"/>
    <d v="2025-02-06T00:00:00"/>
    <x v="1"/>
    <x v="4"/>
    <x v="2"/>
    <x v="0"/>
    <x v="6"/>
    <x v="3"/>
    <x v="5"/>
    <x v="1"/>
  </r>
  <r>
    <x v="863"/>
    <x v="7"/>
    <x v="2"/>
    <n v="84.8"/>
    <n v="254.39999999999998"/>
    <x v="35"/>
    <d v="2025-02-07T00:00:00"/>
    <x v="2"/>
    <x v="2"/>
    <x v="0"/>
    <x v="0"/>
    <x v="8"/>
    <x v="1"/>
    <x v="5"/>
    <x v="2"/>
  </r>
  <r>
    <x v="864"/>
    <x v="2"/>
    <x v="12"/>
    <n v="63.9"/>
    <n v="255.6"/>
    <x v="35"/>
    <d v="2025-02-08T00:00:00"/>
    <x v="2"/>
    <x v="0"/>
    <x v="0"/>
    <x v="0"/>
    <x v="8"/>
    <x v="2"/>
    <x v="5"/>
    <x v="2"/>
  </r>
  <r>
    <x v="865"/>
    <x v="2"/>
    <x v="2"/>
    <n v="65.5"/>
    <n v="196.5"/>
    <x v="35"/>
    <d v="2025-02-05T00:00:00"/>
    <x v="2"/>
    <x v="1"/>
    <x v="1"/>
    <x v="0"/>
    <x v="8"/>
    <x v="7"/>
    <x v="5"/>
    <x v="2"/>
  </r>
  <r>
    <x v="866"/>
    <x v="12"/>
    <x v="1"/>
    <n v="116.2"/>
    <n v="232.4"/>
    <x v="35"/>
    <d v="2025-02-11T00:00:00"/>
    <x v="1"/>
    <x v="3"/>
    <x v="0"/>
    <x v="0"/>
    <x v="17"/>
    <x v="4"/>
    <x v="5"/>
    <x v="1"/>
  </r>
  <r>
    <x v="867"/>
    <x v="10"/>
    <x v="12"/>
    <n v="22.9"/>
    <n v="91.6"/>
    <x v="35"/>
    <d v="2025-02-07T00:00:00"/>
    <x v="2"/>
    <x v="2"/>
    <x v="1"/>
    <x v="0"/>
    <x v="38"/>
    <x v="1"/>
    <x v="5"/>
    <x v="2"/>
  </r>
  <r>
    <x v="868"/>
    <x v="10"/>
    <x v="2"/>
    <n v="53.7"/>
    <n v="161.10000000000002"/>
    <x v="35"/>
    <d v="2025-02-06T00:00:00"/>
    <x v="1"/>
    <x v="0"/>
    <x v="4"/>
    <x v="0"/>
    <x v="18"/>
    <x v="3"/>
    <x v="5"/>
    <x v="1"/>
  </r>
  <r>
    <x v="869"/>
    <x v="6"/>
    <x v="9"/>
    <n v="43.2"/>
    <n v="216"/>
    <x v="35"/>
    <d v="2025-02-07T00:00:00"/>
    <x v="2"/>
    <x v="0"/>
    <x v="0"/>
    <x v="0"/>
    <x v="19"/>
    <x v="1"/>
    <x v="5"/>
    <x v="2"/>
  </r>
  <r>
    <x v="870"/>
    <x v="1"/>
    <x v="2"/>
    <n v="84.5"/>
    <n v="253.5"/>
    <x v="35"/>
    <d v="2025-02-07T00:00:00"/>
    <x v="1"/>
    <x v="2"/>
    <x v="2"/>
    <x v="0"/>
    <x v="51"/>
    <x v="1"/>
    <x v="5"/>
    <x v="1"/>
  </r>
  <r>
    <x v="871"/>
    <x v="3"/>
    <x v="1"/>
    <n v="42.2"/>
    <n v="84.4"/>
    <x v="35"/>
    <d v="2025-02-06T00:00:00"/>
    <x v="2"/>
    <x v="1"/>
    <x v="2"/>
    <x v="0"/>
    <x v="1"/>
    <x v="3"/>
    <x v="5"/>
    <x v="2"/>
  </r>
  <r>
    <x v="872"/>
    <x v="2"/>
    <x v="13"/>
    <n v="94.7"/>
    <n v="568.20000000000005"/>
    <x v="35"/>
    <d v="2025-02-08T00:00:00"/>
    <x v="2"/>
    <x v="1"/>
    <x v="2"/>
    <x v="0"/>
    <x v="2"/>
    <x v="2"/>
    <x v="5"/>
    <x v="2"/>
  </r>
  <r>
    <x v="873"/>
    <x v="8"/>
    <x v="16"/>
    <n v="16.7"/>
    <n v="300.59999999999997"/>
    <x v="35"/>
    <d v="2025-02-17T00:00:00"/>
    <x v="2"/>
    <x v="0"/>
    <x v="2"/>
    <x v="0"/>
    <x v="2"/>
    <x v="13"/>
    <x v="5"/>
    <x v="2"/>
  </r>
  <r>
    <x v="874"/>
    <x v="2"/>
    <x v="1"/>
    <n v="83.6"/>
    <n v="167.2"/>
    <x v="35"/>
    <d v="2025-02-11T00:00:00"/>
    <x v="2"/>
    <x v="1"/>
    <x v="0"/>
    <x v="0"/>
    <x v="3"/>
    <x v="4"/>
    <x v="5"/>
    <x v="2"/>
  </r>
  <r>
    <x v="875"/>
    <x v="7"/>
    <x v="13"/>
    <n v="33.6"/>
    <n v="201.60000000000002"/>
    <x v="36"/>
    <d v="2025-02-07T00:00:00"/>
    <x v="2"/>
    <x v="3"/>
    <x v="0"/>
    <x v="0"/>
    <x v="3"/>
    <x v="3"/>
    <x v="5"/>
    <x v="2"/>
  </r>
  <r>
    <x v="876"/>
    <x v="7"/>
    <x v="1"/>
    <n v="64.7"/>
    <n v="129.4"/>
    <x v="36"/>
    <d v="2025-02-08T00:00:00"/>
    <x v="1"/>
    <x v="1"/>
    <x v="2"/>
    <x v="0"/>
    <x v="3"/>
    <x v="1"/>
    <x v="5"/>
    <x v="1"/>
  </r>
  <r>
    <x v="877"/>
    <x v="0"/>
    <x v="2"/>
    <n v="15.7"/>
    <n v="47.099999999999994"/>
    <x v="36"/>
    <d v="2025-02-12T00:00:00"/>
    <x v="2"/>
    <x v="0"/>
    <x v="0"/>
    <x v="0"/>
    <x v="3"/>
    <x v="4"/>
    <x v="5"/>
    <x v="2"/>
  </r>
  <r>
    <x v="878"/>
    <x v="15"/>
    <x v="13"/>
    <n v="49.4"/>
    <n v="296.39999999999998"/>
    <x v="36"/>
    <d v="2025-02-06T00:00:00"/>
    <x v="1"/>
    <x v="1"/>
    <x v="0"/>
    <x v="0"/>
    <x v="3"/>
    <x v="7"/>
    <x v="5"/>
    <x v="1"/>
  </r>
  <r>
    <x v="879"/>
    <x v="10"/>
    <x v="13"/>
    <n v="37"/>
    <n v="222"/>
    <x v="36"/>
    <d v="2025-02-09T00:00:00"/>
    <x v="2"/>
    <x v="1"/>
    <x v="2"/>
    <x v="0"/>
    <x v="3"/>
    <x v="2"/>
    <x v="5"/>
    <x v="2"/>
  </r>
  <r>
    <x v="880"/>
    <x v="2"/>
    <x v="1"/>
    <n v="83.7"/>
    <n v="167.4"/>
    <x v="36"/>
    <d v="2025-02-08T00:00:00"/>
    <x v="2"/>
    <x v="3"/>
    <x v="2"/>
    <x v="0"/>
    <x v="3"/>
    <x v="1"/>
    <x v="5"/>
    <x v="2"/>
  </r>
  <r>
    <x v="881"/>
    <x v="1"/>
    <x v="9"/>
    <n v="35.1"/>
    <n v="175.5"/>
    <x v="36"/>
    <d v="2025-02-07T00:00:00"/>
    <x v="2"/>
    <x v="0"/>
    <x v="0"/>
    <x v="0"/>
    <x v="3"/>
    <x v="3"/>
    <x v="5"/>
    <x v="2"/>
  </r>
  <r>
    <x v="882"/>
    <x v="16"/>
    <x v="8"/>
    <n v="74"/>
    <n v="592"/>
    <x v="36"/>
    <d v="2025-02-07T00:00:00"/>
    <x v="2"/>
    <x v="4"/>
    <x v="0"/>
    <x v="0"/>
    <x v="37"/>
    <x v="3"/>
    <x v="5"/>
    <x v="2"/>
  </r>
  <r>
    <x v="883"/>
    <x v="6"/>
    <x v="25"/>
    <n v="55.5"/>
    <n v="1332"/>
    <x v="36"/>
    <d v="2025-02-09T00:00:00"/>
    <x v="1"/>
    <x v="3"/>
    <x v="0"/>
    <x v="0"/>
    <x v="49"/>
    <x v="2"/>
    <x v="5"/>
    <x v="1"/>
  </r>
  <r>
    <x v="884"/>
    <x v="11"/>
    <x v="1"/>
    <n v="38.9"/>
    <n v="77.8"/>
    <x v="36"/>
    <d v="2025-02-08T00:00:00"/>
    <x v="2"/>
    <x v="1"/>
    <x v="2"/>
    <x v="0"/>
    <x v="25"/>
    <x v="1"/>
    <x v="5"/>
    <x v="2"/>
  </r>
  <r>
    <x v="885"/>
    <x v="16"/>
    <x v="1"/>
    <n v="64.599999999999994"/>
    <n v="129.19999999999999"/>
    <x v="36"/>
    <d v="2025-02-13T00:00:00"/>
    <x v="1"/>
    <x v="2"/>
    <x v="1"/>
    <x v="0"/>
    <x v="25"/>
    <x v="6"/>
    <x v="5"/>
    <x v="1"/>
  </r>
  <r>
    <x v="886"/>
    <x v="2"/>
    <x v="2"/>
    <n v="95.3"/>
    <n v="285.89999999999998"/>
    <x v="36"/>
    <d v="2025-02-07T00:00:00"/>
    <x v="1"/>
    <x v="0"/>
    <x v="0"/>
    <x v="0"/>
    <x v="5"/>
    <x v="3"/>
    <x v="5"/>
    <x v="1"/>
  </r>
  <r>
    <x v="887"/>
    <x v="13"/>
    <x v="2"/>
    <n v="25.8"/>
    <n v="77.400000000000006"/>
    <x v="36"/>
    <d v="2025-02-07T00:00:00"/>
    <x v="2"/>
    <x v="1"/>
    <x v="1"/>
    <x v="0"/>
    <x v="6"/>
    <x v="3"/>
    <x v="5"/>
    <x v="2"/>
  </r>
  <r>
    <x v="888"/>
    <x v="0"/>
    <x v="1"/>
    <n v="11.6"/>
    <n v="23.2"/>
    <x v="36"/>
    <d v="2025-02-10T00:00:00"/>
    <x v="2"/>
    <x v="1"/>
    <x v="1"/>
    <x v="0"/>
    <x v="6"/>
    <x v="5"/>
    <x v="5"/>
    <x v="2"/>
  </r>
  <r>
    <x v="889"/>
    <x v="7"/>
    <x v="0"/>
    <n v="52.3"/>
    <n v="52.3"/>
    <x v="36"/>
    <d v="2025-02-07T00:00:00"/>
    <x v="2"/>
    <x v="1"/>
    <x v="0"/>
    <x v="0"/>
    <x v="8"/>
    <x v="3"/>
    <x v="5"/>
    <x v="2"/>
  </r>
  <r>
    <x v="890"/>
    <x v="2"/>
    <x v="7"/>
    <n v="112.2"/>
    <n v="1122"/>
    <x v="36"/>
    <d v="2025-02-07T00:00:00"/>
    <x v="2"/>
    <x v="1"/>
    <x v="1"/>
    <x v="0"/>
    <x v="8"/>
    <x v="3"/>
    <x v="5"/>
    <x v="2"/>
  </r>
  <r>
    <x v="891"/>
    <x v="4"/>
    <x v="9"/>
    <n v="34.6"/>
    <n v="173"/>
    <x v="36"/>
    <d v="2025-02-08T00:00:00"/>
    <x v="1"/>
    <x v="2"/>
    <x v="0"/>
    <x v="0"/>
    <x v="8"/>
    <x v="1"/>
    <x v="5"/>
    <x v="1"/>
  </r>
  <r>
    <x v="892"/>
    <x v="14"/>
    <x v="12"/>
    <n v="20.100000000000001"/>
    <n v="80.400000000000006"/>
    <x v="36"/>
    <d v="2025-02-12T00:00:00"/>
    <x v="1"/>
    <x v="1"/>
    <x v="2"/>
    <x v="0"/>
    <x v="8"/>
    <x v="4"/>
    <x v="5"/>
    <x v="1"/>
  </r>
  <r>
    <x v="893"/>
    <x v="2"/>
    <x v="12"/>
    <n v="56.4"/>
    <n v="225.6"/>
    <x v="36"/>
    <d v="2025-02-08T00:00:00"/>
    <x v="2"/>
    <x v="2"/>
    <x v="0"/>
    <x v="0"/>
    <x v="10"/>
    <x v="1"/>
    <x v="5"/>
    <x v="2"/>
  </r>
  <r>
    <x v="894"/>
    <x v="13"/>
    <x v="11"/>
    <n v="55.3"/>
    <n v="497.7"/>
    <x v="36"/>
    <d v="2025-02-08T00:00:00"/>
    <x v="2"/>
    <x v="1"/>
    <x v="4"/>
    <x v="0"/>
    <x v="11"/>
    <x v="1"/>
    <x v="5"/>
    <x v="2"/>
  </r>
  <r>
    <x v="895"/>
    <x v="2"/>
    <x v="31"/>
    <n v="75.5"/>
    <n v="2114"/>
    <x v="36"/>
    <d v="2025-02-07T00:00:00"/>
    <x v="2"/>
    <x v="0"/>
    <x v="0"/>
    <x v="0"/>
    <x v="11"/>
    <x v="3"/>
    <x v="5"/>
    <x v="2"/>
  </r>
  <r>
    <x v="896"/>
    <x v="8"/>
    <x v="0"/>
    <n v="23.6"/>
    <n v="23.6"/>
    <x v="36"/>
    <d v="2025-02-11T00:00:00"/>
    <x v="2"/>
    <x v="0"/>
    <x v="0"/>
    <x v="0"/>
    <x v="19"/>
    <x v="0"/>
    <x v="5"/>
    <x v="2"/>
  </r>
  <r>
    <x v="897"/>
    <x v="9"/>
    <x v="1"/>
    <n v="70.7"/>
    <n v="141.4"/>
    <x v="36"/>
    <d v="2025-02-08T00:00:00"/>
    <x v="2"/>
    <x v="2"/>
    <x v="0"/>
    <x v="0"/>
    <x v="19"/>
    <x v="1"/>
    <x v="5"/>
    <x v="2"/>
  </r>
  <r>
    <x v="898"/>
    <x v="12"/>
    <x v="1"/>
    <n v="43.2"/>
    <n v="86.4"/>
    <x v="36"/>
    <d v="2025-02-07T00:00:00"/>
    <x v="2"/>
    <x v="2"/>
    <x v="0"/>
    <x v="0"/>
    <x v="31"/>
    <x v="3"/>
    <x v="5"/>
    <x v="2"/>
  </r>
  <r>
    <x v="899"/>
    <x v="9"/>
    <x v="11"/>
    <n v="70"/>
    <n v="630"/>
    <x v="36"/>
    <d v="2025-02-07T00:00:00"/>
    <x v="0"/>
    <x v="1"/>
    <x v="0"/>
    <x v="0"/>
    <x v="52"/>
    <x v="3"/>
    <x v="5"/>
    <x v="0"/>
  </r>
  <r>
    <x v="900"/>
    <x v="0"/>
    <x v="1"/>
    <n v="20.5"/>
    <n v="41"/>
    <x v="36"/>
    <d v="2025-02-08T00:00:00"/>
    <x v="2"/>
    <x v="2"/>
    <x v="4"/>
    <x v="0"/>
    <x v="13"/>
    <x v="1"/>
    <x v="5"/>
    <x v="2"/>
  </r>
  <r>
    <x v="901"/>
    <x v="0"/>
    <x v="12"/>
    <n v="29.1"/>
    <n v="116.4"/>
    <x v="36"/>
    <d v="2025-02-07T00:00:00"/>
    <x v="2"/>
    <x v="3"/>
    <x v="0"/>
    <x v="0"/>
    <x v="28"/>
    <x v="3"/>
    <x v="5"/>
    <x v="2"/>
  </r>
  <r>
    <x v="902"/>
    <x v="6"/>
    <x v="11"/>
    <n v="53.6"/>
    <n v="482.40000000000003"/>
    <x v="36"/>
    <d v="2025-02-07T00:00:00"/>
    <x v="1"/>
    <x v="2"/>
    <x v="1"/>
    <x v="0"/>
    <x v="3"/>
    <x v="3"/>
    <x v="5"/>
    <x v="1"/>
  </r>
  <r>
    <x v="903"/>
    <x v="6"/>
    <x v="9"/>
    <n v="72.3"/>
    <n v="361.5"/>
    <x v="36"/>
    <d v="2025-02-08T00:00:00"/>
    <x v="2"/>
    <x v="1"/>
    <x v="0"/>
    <x v="0"/>
    <x v="3"/>
    <x v="1"/>
    <x v="5"/>
    <x v="2"/>
  </r>
  <r>
    <x v="904"/>
    <x v="13"/>
    <x v="12"/>
    <n v="22.6"/>
    <n v="90.4"/>
    <x v="36"/>
    <d v="2025-02-09T00:00:00"/>
    <x v="3"/>
    <x v="0"/>
    <x v="1"/>
    <x v="0"/>
    <x v="3"/>
    <x v="2"/>
    <x v="5"/>
    <x v="3"/>
  </r>
  <r>
    <x v="905"/>
    <x v="9"/>
    <x v="1"/>
    <n v="44.2"/>
    <n v="88.4"/>
    <x v="36"/>
    <d v="2025-02-10T00:00:00"/>
    <x v="0"/>
    <x v="2"/>
    <x v="4"/>
    <x v="0"/>
    <x v="3"/>
    <x v="5"/>
    <x v="5"/>
    <x v="0"/>
  </r>
  <r>
    <x v="906"/>
    <x v="9"/>
    <x v="2"/>
    <n v="94.1"/>
    <n v="282.29999999999995"/>
    <x v="36"/>
    <d v="2025-02-19T00:00:00"/>
    <x v="2"/>
    <x v="2"/>
    <x v="2"/>
    <x v="0"/>
    <x v="3"/>
    <x v="10"/>
    <x v="5"/>
    <x v="2"/>
  </r>
  <r>
    <x v="907"/>
    <x v="8"/>
    <x v="2"/>
    <n v="17.899999999999999"/>
    <n v="53.699999999999996"/>
    <x v="36"/>
    <d v="2025-02-08T00:00:00"/>
    <x v="1"/>
    <x v="1"/>
    <x v="1"/>
    <x v="0"/>
    <x v="3"/>
    <x v="1"/>
    <x v="5"/>
    <x v="1"/>
  </r>
  <r>
    <x v="908"/>
    <x v="12"/>
    <x v="3"/>
    <n v="52.7"/>
    <n v="368.90000000000003"/>
    <x v="36"/>
    <d v="2025-02-07T00:00:00"/>
    <x v="1"/>
    <x v="1"/>
    <x v="1"/>
    <x v="0"/>
    <x v="3"/>
    <x v="3"/>
    <x v="5"/>
    <x v="1"/>
  </r>
  <r>
    <x v="909"/>
    <x v="8"/>
    <x v="0"/>
    <n v="36.799999999999997"/>
    <n v="36.799999999999997"/>
    <x v="36"/>
    <d v="2025-02-06T00:00:00"/>
    <x v="0"/>
    <x v="0"/>
    <x v="2"/>
    <x v="0"/>
    <x v="3"/>
    <x v="7"/>
    <x v="5"/>
    <x v="0"/>
  </r>
  <r>
    <x v="910"/>
    <x v="4"/>
    <x v="0"/>
    <n v="52.5"/>
    <n v="52.5"/>
    <x v="36"/>
    <d v="2025-02-07T00:00:00"/>
    <x v="1"/>
    <x v="0"/>
    <x v="1"/>
    <x v="0"/>
    <x v="6"/>
    <x v="3"/>
    <x v="5"/>
    <x v="1"/>
  </r>
  <r>
    <x v="911"/>
    <x v="2"/>
    <x v="1"/>
    <n v="133.80000000000001"/>
    <n v="267.60000000000002"/>
    <x v="36"/>
    <d v="2025-02-08T00:00:00"/>
    <x v="1"/>
    <x v="0"/>
    <x v="1"/>
    <x v="0"/>
    <x v="7"/>
    <x v="1"/>
    <x v="5"/>
    <x v="1"/>
  </r>
  <r>
    <x v="912"/>
    <x v="6"/>
    <x v="1"/>
    <n v="53.2"/>
    <n v="106.4"/>
    <x v="36"/>
    <d v="2025-02-08T00:00:00"/>
    <x v="1"/>
    <x v="0"/>
    <x v="0"/>
    <x v="0"/>
    <x v="17"/>
    <x v="1"/>
    <x v="5"/>
    <x v="1"/>
  </r>
  <r>
    <x v="913"/>
    <x v="14"/>
    <x v="13"/>
    <n v="18.7"/>
    <n v="112.19999999999999"/>
    <x v="36"/>
    <d v="2025-02-08T00:00:00"/>
    <x v="0"/>
    <x v="0"/>
    <x v="1"/>
    <x v="0"/>
    <x v="10"/>
    <x v="1"/>
    <x v="5"/>
    <x v="0"/>
  </r>
  <r>
    <x v="914"/>
    <x v="6"/>
    <x v="12"/>
    <n v="108.8"/>
    <n v="435.2"/>
    <x v="36"/>
    <d v="2025-02-07T00:00:00"/>
    <x v="2"/>
    <x v="3"/>
    <x v="2"/>
    <x v="0"/>
    <x v="11"/>
    <x v="3"/>
    <x v="5"/>
    <x v="2"/>
  </r>
  <r>
    <x v="915"/>
    <x v="15"/>
    <x v="9"/>
    <n v="38.5"/>
    <n v="192.5"/>
    <x v="36"/>
    <d v="2025-02-10T00:00:00"/>
    <x v="2"/>
    <x v="0"/>
    <x v="1"/>
    <x v="0"/>
    <x v="14"/>
    <x v="5"/>
    <x v="5"/>
    <x v="2"/>
  </r>
  <r>
    <x v="916"/>
    <x v="10"/>
    <x v="7"/>
    <n v="46.5"/>
    <n v="465"/>
    <x v="36"/>
    <d v="2025-02-08T00:00:00"/>
    <x v="1"/>
    <x v="2"/>
    <x v="1"/>
    <x v="0"/>
    <x v="2"/>
    <x v="1"/>
    <x v="5"/>
    <x v="1"/>
  </r>
  <r>
    <x v="917"/>
    <x v="2"/>
    <x v="2"/>
    <n v="75.8"/>
    <n v="227.39999999999998"/>
    <x v="36"/>
    <d v="2025-02-10T00:00:00"/>
    <x v="2"/>
    <x v="1"/>
    <x v="4"/>
    <x v="0"/>
    <x v="44"/>
    <x v="5"/>
    <x v="5"/>
    <x v="2"/>
  </r>
  <r>
    <x v="918"/>
    <x v="8"/>
    <x v="0"/>
    <n v="20.9"/>
    <n v="20.9"/>
    <x v="36"/>
    <d v="2025-02-10T00:00:00"/>
    <x v="1"/>
    <x v="0"/>
    <x v="0"/>
    <x v="0"/>
    <x v="22"/>
    <x v="5"/>
    <x v="5"/>
    <x v="1"/>
  </r>
  <r>
    <x v="919"/>
    <x v="18"/>
    <x v="2"/>
    <n v="47.4"/>
    <n v="142.19999999999999"/>
    <x v="36"/>
    <d v="2025-02-09T00:00:00"/>
    <x v="2"/>
    <x v="0"/>
    <x v="0"/>
    <x v="0"/>
    <x v="3"/>
    <x v="2"/>
    <x v="5"/>
    <x v="2"/>
  </r>
  <r>
    <x v="920"/>
    <x v="9"/>
    <x v="1"/>
    <n v="53.8"/>
    <n v="107.6"/>
    <x v="36"/>
    <d v="2025-02-07T00:00:00"/>
    <x v="0"/>
    <x v="0"/>
    <x v="1"/>
    <x v="0"/>
    <x v="3"/>
    <x v="3"/>
    <x v="5"/>
    <x v="0"/>
  </r>
  <r>
    <x v="921"/>
    <x v="8"/>
    <x v="2"/>
    <n v="24.6"/>
    <n v="73.800000000000011"/>
    <x v="36"/>
    <d v="2025-02-08T00:00:00"/>
    <x v="3"/>
    <x v="1"/>
    <x v="2"/>
    <x v="0"/>
    <x v="3"/>
    <x v="1"/>
    <x v="5"/>
    <x v="3"/>
  </r>
  <r>
    <x v="922"/>
    <x v="9"/>
    <x v="2"/>
    <n v="70.900000000000006"/>
    <n v="212.70000000000002"/>
    <x v="36"/>
    <d v="2025-02-11T00:00:00"/>
    <x v="2"/>
    <x v="2"/>
    <x v="2"/>
    <x v="0"/>
    <x v="3"/>
    <x v="0"/>
    <x v="5"/>
    <x v="2"/>
  </r>
  <r>
    <x v="923"/>
    <x v="17"/>
    <x v="2"/>
    <n v="31.9"/>
    <n v="95.699999999999989"/>
    <x v="36"/>
    <d v="2025-02-08T00:00:00"/>
    <x v="2"/>
    <x v="2"/>
    <x v="2"/>
    <x v="0"/>
    <x v="3"/>
    <x v="1"/>
    <x v="5"/>
    <x v="2"/>
  </r>
  <r>
    <x v="924"/>
    <x v="0"/>
    <x v="1"/>
    <n v="20.399999999999999"/>
    <n v="40.799999999999997"/>
    <x v="36"/>
    <d v="2025-02-10T00:00:00"/>
    <x v="1"/>
    <x v="3"/>
    <x v="2"/>
    <x v="0"/>
    <x v="3"/>
    <x v="5"/>
    <x v="5"/>
    <x v="1"/>
  </r>
  <r>
    <x v="925"/>
    <x v="8"/>
    <x v="1"/>
    <n v="18.600000000000001"/>
    <n v="37.200000000000003"/>
    <x v="36"/>
    <d v="2025-02-08T00:00:00"/>
    <x v="0"/>
    <x v="0"/>
    <x v="1"/>
    <x v="0"/>
    <x v="3"/>
    <x v="1"/>
    <x v="5"/>
    <x v="0"/>
  </r>
  <r>
    <x v="926"/>
    <x v="4"/>
    <x v="9"/>
    <n v="48.3"/>
    <n v="241.5"/>
    <x v="36"/>
    <d v="2025-02-08T00:00:00"/>
    <x v="2"/>
    <x v="1"/>
    <x v="0"/>
    <x v="0"/>
    <x v="3"/>
    <x v="1"/>
    <x v="5"/>
    <x v="2"/>
  </r>
  <r>
    <x v="927"/>
    <x v="0"/>
    <x v="12"/>
    <n v="27.7"/>
    <n v="110.8"/>
    <x v="36"/>
    <d v="2025-02-08T00:00:00"/>
    <x v="2"/>
    <x v="0"/>
    <x v="0"/>
    <x v="0"/>
    <x v="3"/>
    <x v="1"/>
    <x v="5"/>
    <x v="2"/>
  </r>
  <r>
    <x v="928"/>
    <x v="4"/>
    <x v="9"/>
    <n v="22.5"/>
    <n v="112.5"/>
    <x v="36"/>
    <d v="2025-02-08T00:00:00"/>
    <x v="2"/>
    <x v="4"/>
    <x v="2"/>
    <x v="0"/>
    <x v="3"/>
    <x v="1"/>
    <x v="5"/>
    <x v="2"/>
  </r>
  <r>
    <x v="929"/>
    <x v="17"/>
    <x v="9"/>
    <n v="21.6"/>
    <n v="108"/>
    <x v="36"/>
    <d v="2025-02-14T00:00:00"/>
    <x v="2"/>
    <x v="0"/>
    <x v="1"/>
    <x v="0"/>
    <x v="3"/>
    <x v="9"/>
    <x v="5"/>
    <x v="2"/>
  </r>
  <r>
    <x v="930"/>
    <x v="10"/>
    <x v="3"/>
    <n v="26.3"/>
    <n v="184.1"/>
    <x v="36"/>
    <d v="2025-02-06T00:00:00"/>
    <x v="2"/>
    <x v="2"/>
    <x v="1"/>
    <x v="0"/>
    <x v="3"/>
    <x v="7"/>
    <x v="5"/>
    <x v="2"/>
  </r>
  <r>
    <x v="931"/>
    <x v="6"/>
    <x v="3"/>
    <n v="103"/>
    <n v="721"/>
    <x v="37"/>
    <d v="2025-02-08T00:00:00"/>
    <x v="1"/>
    <x v="0"/>
    <x v="2"/>
    <x v="0"/>
    <x v="6"/>
    <x v="3"/>
    <x v="5"/>
    <x v="1"/>
  </r>
  <r>
    <x v="932"/>
    <x v="5"/>
    <x v="20"/>
    <n v="46.6"/>
    <n v="699"/>
    <x v="37"/>
    <d v="2025-02-08T00:00:00"/>
    <x v="2"/>
    <x v="0"/>
    <x v="1"/>
    <x v="0"/>
    <x v="6"/>
    <x v="3"/>
    <x v="5"/>
    <x v="2"/>
  </r>
  <r>
    <x v="933"/>
    <x v="0"/>
    <x v="9"/>
    <n v="32.200000000000003"/>
    <n v="161"/>
    <x v="37"/>
    <d v="2025-02-10T00:00:00"/>
    <x v="2"/>
    <x v="0"/>
    <x v="2"/>
    <x v="0"/>
    <x v="36"/>
    <x v="2"/>
    <x v="5"/>
    <x v="2"/>
  </r>
  <r>
    <x v="934"/>
    <x v="8"/>
    <x v="2"/>
    <n v="22"/>
    <n v="66"/>
    <x v="37"/>
    <d v="2025-02-14T00:00:00"/>
    <x v="1"/>
    <x v="1"/>
    <x v="0"/>
    <x v="0"/>
    <x v="7"/>
    <x v="6"/>
    <x v="5"/>
    <x v="1"/>
  </r>
  <r>
    <x v="935"/>
    <x v="0"/>
    <x v="1"/>
    <n v="25.2"/>
    <n v="50.4"/>
    <x v="37"/>
    <d v="2025-02-11T00:00:00"/>
    <x v="2"/>
    <x v="0"/>
    <x v="0"/>
    <x v="0"/>
    <x v="7"/>
    <x v="5"/>
    <x v="5"/>
    <x v="2"/>
  </r>
  <r>
    <x v="936"/>
    <x v="1"/>
    <x v="13"/>
    <n v="68.7"/>
    <n v="412.20000000000005"/>
    <x v="37"/>
    <d v="2025-02-09T00:00:00"/>
    <x v="1"/>
    <x v="4"/>
    <x v="0"/>
    <x v="0"/>
    <x v="8"/>
    <x v="1"/>
    <x v="5"/>
    <x v="1"/>
  </r>
  <r>
    <x v="937"/>
    <x v="0"/>
    <x v="2"/>
    <n v="22.2"/>
    <n v="66.599999999999994"/>
    <x v="37"/>
    <d v="2025-02-10T00:00:00"/>
    <x v="1"/>
    <x v="2"/>
    <x v="2"/>
    <x v="0"/>
    <x v="8"/>
    <x v="2"/>
    <x v="5"/>
    <x v="1"/>
  </r>
  <r>
    <x v="938"/>
    <x v="1"/>
    <x v="3"/>
    <n v="36"/>
    <n v="252"/>
    <x v="37"/>
    <d v="2025-02-08T00:00:00"/>
    <x v="2"/>
    <x v="1"/>
    <x v="0"/>
    <x v="0"/>
    <x v="8"/>
    <x v="3"/>
    <x v="5"/>
    <x v="2"/>
  </r>
  <r>
    <x v="939"/>
    <x v="18"/>
    <x v="0"/>
    <n v="50.6"/>
    <n v="50.6"/>
    <x v="37"/>
    <d v="2025-02-09T00:00:00"/>
    <x v="2"/>
    <x v="0"/>
    <x v="1"/>
    <x v="0"/>
    <x v="8"/>
    <x v="1"/>
    <x v="5"/>
    <x v="2"/>
  </r>
  <r>
    <x v="940"/>
    <x v="15"/>
    <x v="1"/>
    <n v="44.9"/>
    <n v="89.8"/>
    <x v="37"/>
    <d v="2025-02-09T00:00:00"/>
    <x v="1"/>
    <x v="0"/>
    <x v="1"/>
    <x v="0"/>
    <x v="8"/>
    <x v="1"/>
    <x v="5"/>
    <x v="1"/>
  </r>
  <r>
    <x v="941"/>
    <x v="6"/>
    <x v="2"/>
    <n v="71.599999999999994"/>
    <n v="214.79999999999998"/>
    <x v="37"/>
    <d v="2025-02-11T00:00:00"/>
    <x v="1"/>
    <x v="1"/>
    <x v="2"/>
    <x v="0"/>
    <x v="10"/>
    <x v="5"/>
    <x v="5"/>
    <x v="1"/>
  </r>
  <r>
    <x v="942"/>
    <x v="6"/>
    <x v="13"/>
    <n v="51.5"/>
    <n v="309"/>
    <x v="37"/>
    <d v="2025-02-09T00:00:00"/>
    <x v="0"/>
    <x v="4"/>
    <x v="0"/>
    <x v="0"/>
    <x v="11"/>
    <x v="1"/>
    <x v="5"/>
    <x v="0"/>
  </r>
  <r>
    <x v="943"/>
    <x v="7"/>
    <x v="9"/>
    <n v="55.5"/>
    <n v="277.5"/>
    <x v="37"/>
    <d v="2025-02-08T00:00:00"/>
    <x v="1"/>
    <x v="1"/>
    <x v="1"/>
    <x v="0"/>
    <x v="11"/>
    <x v="3"/>
    <x v="5"/>
    <x v="1"/>
  </r>
  <r>
    <x v="944"/>
    <x v="6"/>
    <x v="0"/>
    <n v="51.7"/>
    <n v="51.7"/>
    <x v="37"/>
    <d v="2025-02-21T00:00:00"/>
    <x v="1"/>
    <x v="2"/>
    <x v="0"/>
    <x v="0"/>
    <x v="19"/>
    <x v="12"/>
    <x v="5"/>
    <x v="1"/>
  </r>
  <r>
    <x v="945"/>
    <x v="8"/>
    <x v="38"/>
    <n v="45.5"/>
    <n v="955.5"/>
    <x v="37"/>
    <d v="2025-02-08T00:00:00"/>
    <x v="2"/>
    <x v="3"/>
    <x v="2"/>
    <x v="0"/>
    <x v="19"/>
    <x v="3"/>
    <x v="5"/>
    <x v="2"/>
  </r>
  <r>
    <x v="946"/>
    <x v="8"/>
    <x v="1"/>
    <n v="33.799999999999997"/>
    <n v="67.599999999999994"/>
    <x v="37"/>
    <d v="2025-02-13T00:00:00"/>
    <x v="2"/>
    <x v="3"/>
    <x v="0"/>
    <x v="0"/>
    <x v="20"/>
    <x v="4"/>
    <x v="5"/>
    <x v="2"/>
  </r>
  <r>
    <x v="947"/>
    <x v="3"/>
    <x v="2"/>
    <n v="76.5"/>
    <n v="229.5"/>
    <x v="37"/>
    <d v="2025-02-08T00:00:00"/>
    <x v="2"/>
    <x v="0"/>
    <x v="1"/>
    <x v="0"/>
    <x v="21"/>
    <x v="3"/>
    <x v="5"/>
    <x v="2"/>
  </r>
  <r>
    <x v="948"/>
    <x v="9"/>
    <x v="2"/>
    <n v="42.6"/>
    <n v="127.80000000000001"/>
    <x v="37"/>
    <d v="2025-02-13T00:00:00"/>
    <x v="2"/>
    <x v="2"/>
    <x v="2"/>
    <x v="0"/>
    <x v="2"/>
    <x v="4"/>
    <x v="5"/>
    <x v="2"/>
  </r>
  <r>
    <x v="949"/>
    <x v="6"/>
    <x v="2"/>
    <n v="44.1"/>
    <n v="132.30000000000001"/>
    <x v="37"/>
    <d v="2025-02-09T00:00:00"/>
    <x v="2"/>
    <x v="1"/>
    <x v="1"/>
    <x v="0"/>
    <x v="22"/>
    <x v="1"/>
    <x v="5"/>
    <x v="2"/>
  </r>
  <r>
    <x v="950"/>
    <x v="8"/>
    <x v="1"/>
    <n v="40.9"/>
    <n v="81.8"/>
    <x v="37"/>
    <d v="2025-02-11T00:00:00"/>
    <x v="1"/>
    <x v="0"/>
    <x v="0"/>
    <x v="0"/>
    <x v="3"/>
    <x v="5"/>
    <x v="5"/>
    <x v="1"/>
  </r>
  <r>
    <x v="951"/>
    <x v="9"/>
    <x v="2"/>
    <n v="49.1"/>
    <n v="147.30000000000001"/>
    <x v="37"/>
    <d v="2025-02-11T00:00:00"/>
    <x v="2"/>
    <x v="3"/>
    <x v="1"/>
    <x v="0"/>
    <x v="3"/>
    <x v="5"/>
    <x v="5"/>
    <x v="2"/>
  </r>
  <r>
    <x v="952"/>
    <x v="18"/>
    <x v="0"/>
    <n v="85.3"/>
    <n v="85.3"/>
    <x v="37"/>
    <d v="2025-02-11T00:00:00"/>
    <x v="1"/>
    <x v="1"/>
    <x v="1"/>
    <x v="0"/>
    <x v="3"/>
    <x v="5"/>
    <x v="5"/>
    <x v="1"/>
  </r>
  <r>
    <x v="953"/>
    <x v="6"/>
    <x v="12"/>
    <n v="43.1"/>
    <n v="172.4"/>
    <x v="38"/>
    <d v="2025-02-11T00:00:00"/>
    <x v="1"/>
    <x v="0"/>
    <x v="0"/>
    <x v="0"/>
    <x v="3"/>
    <x v="2"/>
    <x v="5"/>
    <x v="1"/>
  </r>
  <r>
    <x v="954"/>
    <x v="4"/>
    <x v="12"/>
    <n v="46.2"/>
    <n v="184.8"/>
    <x v="38"/>
    <d v="2025-02-09T00:00:00"/>
    <x v="1"/>
    <x v="2"/>
    <x v="0"/>
    <x v="0"/>
    <x v="3"/>
    <x v="3"/>
    <x v="5"/>
    <x v="1"/>
  </r>
  <r>
    <x v="955"/>
    <x v="1"/>
    <x v="0"/>
    <n v="74.400000000000006"/>
    <n v="74.400000000000006"/>
    <x v="38"/>
    <d v="2025-02-10T00:00:00"/>
    <x v="1"/>
    <x v="4"/>
    <x v="2"/>
    <x v="0"/>
    <x v="3"/>
    <x v="1"/>
    <x v="5"/>
    <x v="1"/>
  </r>
  <r>
    <x v="956"/>
    <x v="17"/>
    <x v="1"/>
    <n v="51.2"/>
    <n v="102.4"/>
    <x v="38"/>
    <d v="2025-02-09T00:00:00"/>
    <x v="1"/>
    <x v="1"/>
    <x v="0"/>
    <x v="0"/>
    <x v="3"/>
    <x v="3"/>
    <x v="5"/>
    <x v="1"/>
  </r>
  <r>
    <x v="957"/>
    <x v="14"/>
    <x v="12"/>
    <n v="11.8"/>
    <n v="47.2"/>
    <x v="38"/>
    <d v="2025-02-08T00:00:00"/>
    <x v="1"/>
    <x v="2"/>
    <x v="0"/>
    <x v="0"/>
    <x v="3"/>
    <x v="7"/>
    <x v="5"/>
    <x v="1"/>
  </r>
  <r>
    <x v="958"/>
    <x v="10"/>
    <x v="6"/>
    <n v="40.799999999999997"/>
    <n v="1101.5999999999999"/>
    <x v="38"/>
    <d v="2025-02-09T00:00:00"/>
    <x v="2"/>
    <x v="3"/>
    <x v="2"/>
    <x v="0"/>
    <x v="3"/>
    <x v="3"/>
    <x v="5"/>
    <x v="2"/>
  </r>
  <r>
    <x v="959"/>
    <x v="8"/>
    <x v="0"/>
    <n v="24.7"/>
    <n v="24.7"/>
    <x v="38"/>
    <d v="2025-02-10T00:00:00"/>
    <x v="2"/>
    <x v="2"/>
    <x v="1"/>
    <x v="0"/>
    <x v="3"/>
    <x v="1"/>
    <x v="5"/>
    <x v="2"/>
  </r>
  <r>
    <x v="960"/>
    <x v="8"/>
    <x v="3"/>
    <n v="22.1"/>
    <n v="154.70000000000002"/>
    <x v="38"/>
    <d v="2025-02-08T00:00:00"/>
    <x v="2"/>
    <x v="2"/>
    <x v="4"/>
    <x v="0"/>
    <x v="3"/>
    <x v="7"/>
    <x v="5"/>
    <x v="2"/>
  </r>
  <r>
    <x v="961"/>
    <x v="8"/>
    <x v="0"/>
    <n v="18.100000000000001"/>
    <n v="18.100000000000001"/>
    <x v="38"/>
    <d v="2025-02-12T00:00:00"/>
    <x v="1"/>
    <x v="3"/>
    <x v="2"/>
    <x v="0"/>
    <x v="3"/>
    <x v="5"/>
    <x v="5"/>
    <x v="1"/>
  </r>
  <r>
    <x v="962"/>
    <x v="17"/>
    <x v="1"/>
    <n v="58.8"/>
    <n v="117.6"/>
    <x v="38"/>
    <d v="2025-02-11T00:00:00"/>
    <x v="2"/>
    <x v="0"/>
    <x v="0"/>
    <x v="0"/>
    <x v="25"/>
    <x v="2"/>
    <x v="5"/>
    <x v="2"/>
  </r>
  <r>
    <x v="963"/>
    <x v="18"/>
    <x v="1"/>
    <n v="30.8"/>
    <n v="61.6"/>
    <x v="38"/>
    <d v="2025-02-09T00:00:00"/>
    <x v="2"/>
    <x v="0"/>
    <x v="0"/>
    <x v="0"/>
    <x v="6"/>
    <x v="3"/>
    <x v="5"/>
    <x v="2"/>
  </r>
  <r>
    <x v="964"/>
    <x v="0"/>
    <x v="1"/>
    <n v="12"/>
    <n v="24"/>
    <x v="38"/>
    <d v="2025-02-12T00:00:00"/>
    <x v="2"/>
    <x v="0"/>
    <x v="0"/>
    <x v="0"/>
    <x v="6"/>
    <x v="5"/>
    <x v="5"/>
    <x v="2"/>
  </r>
  <r>
    <x v="965"/>
    <x v="0"/>
    <x v="12"/>
    <n v="13.6"/>
    <n v="54.4"/>
    <x v="38"/>
    <d v="2025-02-11T00:00:00"/>
    <x v="1"/>
    <x v="2"/>
    <x v="0"/>
    <x v="0"/>
    <x v="6"/>
    <x v="2"/>
    <x v="5"/>
    <x v="1"/>
  </r>
  <r>
    <x v="966"/>
    <x v="0"/>
    <x v="0"/>
    <n v="17.899999999999999"/>
    <n v="17.899999999999999"/>
    <x v="38"/>
    <d v="2025-02-09T00:00:00"/>
    <x v="1"/>
    <x v="3"/>
    <x v="0"/>
    <x v="0"/>
    <x v="6"/>
    <x v="3"/>
    <x v="5"/>
    <x v="1"/>
  </r>
  <r>
    <x v="967"/>
    <x v="9"/>
    <x v="1"/>
    <n v="38.6"/>
    <n v="77.2"/>
    <x v="38"/>
    <d v="2025-02-12T00:00:00"/>
    <x v="2"/>
    <x v="4"/>
    <x v="0"/>
    <x v="0"/>
    <x v="7"/>
    <x v="5"/>
    <x v="5"/>
    <x v="2"/>
  </r>
  <r>
    <x v="968"/>
    <x v="5"/>
    <x v="9"/>
    <n v="32.700000000000003"/>
    <n v="163.5"/>
    <x v="38"/>
    <d v="2025-02-09T00:00:00"/>
    <x v="1"/>
    <x v="2"/>
    <x v="2"/>
    <x v="0"/>
    <x v="8"/>
    <x v="3"/>
    <x v="5"/>
    <x v="1"/>
  </r>
  <r>
    <x v="969"/>
    <x v="3"/>
    <x v="1"/>
    <n v="111.4"/>
    <n v="222.8"/>
    <x v="38"/>
    <d v="2025-02-09T00:00:00"/>
    <x v="2"/>
    <x v="1"/>
    <x v="0"/>
    <x v="0"/>
    <x v="8"/>
    <x v="3"/>
    <x v="5"/>
    <x v="2"/>
  </r>
  <r>
    <x v="970"/>
    <x v="2"/>
    <x v="13"/>
    <n v="80.3"/>
    <n v="481.79999999999995"/>
    <x v="38"/>
    <d v="2025-02-10T00:00:00"/>
    <x v="2"/>
    <x v="1"/>
    <x v="0"/>
    <x v="0"/>
    <x v="8"/>
    <x v="1"/>
    <x v="5"/>
    <x v="2"/>
  </r>
  <r>
    <x v="971"/>
    <x v="6"/>
    <x v="1"/>
    <n v="58.9"/>
    <n v="117.8"/>
    <x v="38"/>
    <d v="2025-02-09T00:00:00"/>
    <x v="1"/>
    <x v="1"/>
    <x v="0"/>
    <x v="0"/>
    <x v="8"/>
    <x v="3"/>
    <x v="5"/>
    <x v="1"/>
  </r>
  <r>
    <x v="972"/>
    <x v="6"/>
    <x v="2"/>
    <n v="51.9"/>
    <n v="155.69999999999999"/>
    <x v="38"/>
    <d v="2025-02-10T00:00:00"/>
    <x v="2"/>
    <x v="1"/>
    <x v="4"/>
    <x v="0"/>
    <x v="8"/>
    <x v="1"/>
    <x v="5"/>
    <x v="2"/>
  </r>
  <r>
    <x v="973"/>
    <x v="2"/>
    <x v="2"/>
    <n v="50.3"/>
    <n v="150.89999999999998"/>
    <x v="38"/>
    <d v="2025-02-09T00:00:00"/>
    <x v="1"/>
    <x v="2"/>
    <x v="0"/>
    <x v="0"/>
    <x v="17"/>
    <x v="3"/>
    <x v="5"/>
    <x v="1"/>
  </r>
  <r>
    <x v="974"/>
    <x v="11"/>
    <x v="13"/>
    <n v="45"/>
    <n v="270"/>
    <x v="38"/>
    <d v="2025-02-14T00:00:00"/>
    <x v="2"/>
    <x v="3"/>
    <x v="0"/>
    <x v="0"/>
    <x v="9"/>
    <x v="4"/>
    <x v="5"/>
    <x v="2"/>
  </r>
  <r>
    <x v="975"/>
    <x v="10"/>
    <x v="13"/>
    <n v="44.7"/>
    <n v="268.20000000000005"/>
    <x v="38"/>
    <d v="2025-02-10T00:00:00"/>
    <x v="2"/>
    <x v="2"/>
    <x v="0"/>
    <x v="0"/>
    <x v="11"/>
    <x v="1"/>
    <x v="5"/>
    <x v="2"/>
  </r>
  <r>
    <x v="976"/>
    <x v="18"/>
    <x v="20"/>
    <n v="33"/>
    <n v="495"/>
    <x v="38"/>
    <d v="2025-02-09T00:00:00"/>
    <x v="2"/>
    <x v="2"/>
    <x v="0"/>
    <x v="0"/>
    <x v="11"/>
    <x v="3"/>
    <x v="5"/>
    <x v="2"/>
  </r>
  <r>
    <x v="977"/>
    <x v="1"/>
    <x v="9"/>
    <n v="44.9"/>
    <n v="224.5"/>
    <x v="38"/>
    <d v="2025-02-11T00:00:00"/>
    <x v="2"/>
    <x v="2"/>
    <x v="2"/>
    <x v="0"/>
    <x v="18"/>
    <x v="2"/>
    <x v="5"/>
    <x v="2"/>
  </r>
  <r>
    <x v="978"/>
    <x v="10"/>
    <x v="1"/>
    <n v="34.6"/>
    <n v="69.2"/>
    <x v="38"/>
    <d v="2025-02-12T00:00:00"/>
    <x v="2"/>
    <x v="0"/>
    <x v="1"/>
    <x v="0"/>
    <x v="19"/>
    <x v="5"/>
    <x v="5"/>
    <x v="2"/>
  </r>
  <r>
    <x v="979"/>
    <x v="7"/>
    <x v="3"/>
    <n v="47.1"/>
    <n v="329.7"/>
    <x v="38"/>
    <d v="2025-02-13T00:00:00"/>
    <x v="2"/>
    <x v="0"/>
    <x v="0"/>
    <x v="0"/>
    <x v="13"/>
    <x v="0"/>
    <x v="5"/>
    <x v="2"/>
  </r>
  <r>
    <x v="980"/>
    <x v="4"/>
    <x v="9"/>
    <n v="26.1"/>
    <n v="130.5"/>
    <x v="38"/>
    <d v="2025-02-13T00:00:00"/>
    <x v="1"/>
    <x v="0"/>
    <x v="2"/>
    <x v="0"/>
    <x v="21"/>
    <x v="0"/>
    <x v="5"/>
    <x v="1"/>
  </r>
  <r>
    <x v="981"/>
    <x v="12"/>
    <x v="9"/>
    <n v="66.8"/>
    <n v="334"/>
    <x v="38"/>
    <d v="2025-02-11T00:00:00"/>
    <x v="2"/>
    <x v="0"/>
    <x v="0"/>
    <x v="0"/>
    <x v="21"/>
    <x v="2"/>
    <x v="5"/>
    <x v="2"/>
  </r>
  <r>
    <x v="982"/>
    <x v="2"/>
    <x v="1"/>
    <n v="167.9"/>
    <n v="335.8"/>
    <x v="38"/>
    <d v="2025-02-09T00:00:00"/>
    <x v="2"/>
    <x v="3"/>
    <x v="2"/>
    <x v="0"/>
    <x v="21"/>
    <x v="3"/>
    <x v="5"/>
    <x v="2"/>
  </r>
  <r>
    <x v="983"/>
    <x v="10"/>
    <x v="11"/>
    <n v="34.6"/>
    <n v="311.40000000000003"/>
    <x v="38"/>
    <d v="2025-02-09T00:00:00"/>
    <x v="2"/>
    <x v="2"/>
    <x v="1"/>
    <x v="0"/>
    <x v="21"/>
    <x v="3"/>
    <x v="5"/>
    <x v="2"/>
  </r>
  <r>
    <x v="984"/>
    <x v="8"/>
    <x v="2"/>
    <n v="35.1"/>
    <n v="105.30000000000001"/>
    <x v="39"/>
    <d v="2025-02-13T00:00:00"/>
    <x v="1"/>
    <x v="4"/>
    <x v="2"/>
    <x v="0"/>
    <x v="1"/>
    <x v="5"/>
    <x v="6"/>
    <x v="1"/>
  </r>
  <r>
    <x v="985"/>
    <x v="6"/>
    <x v="12"/>
    <n v="104.5"/>
    <n v="418"/>
    <x v="39"/>
    <d v="2025-02-10T00:00:00"/>
    <x v="1"/>
    <x v="1"/>
    <x v="1"/>
    <x v="0"/>
    <x v="1"/>
    <x v="3"/>
    <x v="6"/>
    <x v="1"/>
  </r>
  <r>
    <x v="986"/>
    <x v="8"/>
    <x v="0"/>
    <n v="37.9"/>
    <n v="37.9"/>
    <x v="39"/>
    <d v="2025-02-11T00:00:00"/>
    <x v="0"/>
    <x v="1"/>
    <x v="2"/>
    <x v="0"/>
    <x v="2"/>
    <x v="1"/>
    <x v="6"/>
    <x v="0"/>
  </r>
  <r>
    <x v="987"/>
    <x v="4"/>
    <x v="2"/>
    <n v="25.5"/>
    <n v="76.5"/>
    <x v="39"/>
    <d v="2025-02-12T00:00:00"/>
    <x v="1"/>
    <x v="3"/>
    <x v="0"/>
    <x v="0"/>
    <x v="2"/>
    <x v="2"/>
    <x v="6"/>
    <x v="1"/>
  </r>
  <r>
    <x v="988"/>
    <x v="0"/>
    <x v="2"/>
    <n v="32"/>
    <n v="96"/>
    <x v="39"/>
    <d v="2025-02-13T00:00:00"/>
    <x v="2"/>
    <x v="1"/>
    <x v="0"/>
    <x v="0"/>
    <x v="22"/>
    <x v="5"/>
    <x v="6"/>
    <x v="2"/>
  </r>
  <r>
    <x v="989"/>
    <x v="1"/>
    <x v="0"/>
    <n v="47.1"/>
    <n v="47.1"/>
    <x v="39"/>
    <d v="2025-02-10T00:00:00"/>
    <x v="2"/>
    <x v="0"/>
    <x v="0"/>
    <x v="0"/>
    <x v="34"/>
    <x v="3"/>
    <x v="6"/>
    <x v="2"/>
  </r>
  <r>
    <x v="990"/>
    <x v="6"/>
    <x v="1"/>
    <n v="50.6"/>
    <n v="101.2"/>
    <x v="39"/>
    <d v="2025-02-15T00:00:00"/>
    <x v="0"/>
    <x v="0"/>
    <x v="0"/>
    <x v="0"/>
    <x v="3"/>
    <x v="4"/>
    <x v="6"/>
    <x v="0"/>
  </r>
  <r>
    <x v="991"/>
    <x v="6"/>
    <x v="9"/>
    <n v="81.7"/>
    <n v="408.5"/>
    <x v="39"/>
    <d v="2025-02-10T00:00:00"/>
    <x v="2"/>
    <x v="1"/>
    <x v="2"/>
    <x v="0"/>
    <x v="3"/>
    <x v="3"/>
    <x v="6"/>
    <x v="2"/>
  </r>
  <r>
    <x v="992"/>
    <x v="5"/>
    <x v="1"/>
    <n v="50.7"/>
    <n v="101.4"/>
    <x v="39"/>
    <d v="2025-02-10T00:00:00"/>
    <x v="3"/>
    <x v="2"/>
    <x v="2"/>
    <x v="0"/>
    <x v="3"/>
    <x v="3"/>
    <x v="6"/>
    <x v="3"/>
  </r>
  <r>
    <x v="993"/>
    <x v="2"/>
    <x v="10"/>
    <n v="67.3"/>
    <n v="1278.7"/>
    <x v="39"/>
    <d v="2025-02-13T00:00:00"/>
    <x v="2"/>
    <x v="2"/>
    <x v="0"/>
    <x v="0"/>
    <x v="3"/>
    <x v="5"/>
    <x v="6"/>
    <x v="2"/>
  </r>
  <r>
    <x v="994"/>
    <x v="2"/>
    <x v="12"/>
    <n v="64.8"/>
    <n v="259.2"/>
    <x v="39"/>
    <d v="2025-02-12T00:00:00"/>
    <x v="2"/>
    <x v="3"/>
    <x v="0"/>
    <x v="0"/>
    <x v="3"/>
    <x v="2"/>
    <x v="6"/>
    <x v="2"/>
  </r>
  <r>
    <x v="995"/>
    <x v="5"/>
    <x v="32"/>
    <n v="61.3"/>
    <n v="1348.6"/>
    <x v="39"/>
    <d v="2025-02-10T00:00:00"/>
    <x v="2"/>
    <x v="0"/>
    <x v="2"/>
    <x v="0"/>
    <x v="3"/>
    <x v="3"/>
    <x v="6"/>
    <x v="2"/>
  </r>
  <r>
    <x v="996"/>
    <x v="14"/>
    <x v="0"/>
    <n v="32.9"/>
    <n v="32.9"/>
    <x v="39"/>
    <d v="2025-02-12T00:00:00"/>
    <x v="2"/>
    <x v="4"/>
    <x v="0"/>
    <x v="0"/>
    <x v="3"/>
    <x v="2"/>
    <x v="6"/>
    <x v="2"/>
  </r>
  <r>
    <x v="997"/>
    <x v="6"/>
    <x v="1"/>
    <n v="100.8"/>
    <n v="201.6"/>
    <x v="39"/>
    <d v="2025-02-12T00:00:00"/>
    <x v="2"/>
    <x v="0"/>
    <x v="0"/>
    <x v="0"/>
    <x v="3"/>
    <x v="2"/>
    <x v="6"/>
    <x v="2"/>
  </r>
  <r>
    <x v="998"/>
    <x v="8"/>
    <x v="12"/>
    <n v="25.1"/>
    <n v="100.4"/>
    <x v="39"/>
    <d v="2025-02-11T00:00:00"/>
    <x v="2"/>
    <x v="1"/>
    <x v="0"/>
    <x v="0"/>
    <x v="3"/>
    <x v="1"/>
    <x v="6"/>
    <x v="2"/>
  </r>
  <r>
    <x v="999"/>
    <x v="17"/>
    <x v="0"/>
    <n v="48.5"/>
    <n v="48.5"/>
    <x v="39"/>
    <d v="2025-02-10T00:00:00"/>
    <x v="2"/>
    <x v="0"/>
    <x v="1"/>
    <x v="0"/>
    <x v="3"/>
    <x v="3"/>
    <x v="6"/>
    <x v="2"/>
  </r>
  <r>
    <x v="1000"/>
    <x v="7"/>
    <x v="1"/>
    <n v="33.6"/>
    <n v="67.2"/>
    <x v="39"/>
    <d v="2025-02-13T00:00:00"/>
    <x v="2"/>
    <x v="2"/>
    <x v="2"/>
    <x v="0"/>
    <x v="3"/>
    <x v="5"/>
    <x v="6"/>
    <x v="2"/>
  </r>
  <r>
    <x v="1001"/>
    <x v="8"/>
    <x v="0"/>
    <n v="39.299999999999997"/>
    <n v="39.299999999999997"/>
    <x v="39"/>
    <d v="2025-02-20T00:00:00"/>
    <x v="2"/>
    <x v="1"/>
    <x v="1"/>
    <x v="0"/>
    <x v="49"/>
    <x v="11"/>
    <x v="6"/>
    <x v="2"/>
  </r>
  <r>
    <x v="1002"/>
    <x v="4"/>
    <x v="7"/>
    <n v="48.8"/>
    <n v="488"/>
    <x v="39"/>
    <d v="2025-02-11T00:00:00"/>
    <x v="2"/>
    <x v="3"/>
    <x v="1"/>
    <x v="0"/>
    <x v="25"/>
    <x v="1"/>
    <x v="6"/>
    <x v="2"/>
  </r>
  <r>
    <x v="1003"/>
    <x v="6"/>
    <x v="8"/>
    <n v="72.8"/>
    <n v="582.4"/>
    <x v="39"/>
    <d v="2025-02-11T00:00:00"/>
    <x v="1"/>
    <x v="1"/>
    <x v="2"/>
    <x v="0"/>
    <x v="5"/>
    <x v="1"/>
    <x v="6"/>
    <x v="1"/>
  </r>
  <r>
    <x v="1004"/>
    <x v="10"/>
    <x v="8"/>
    <n v="46.2"/>
    <n v="369.6"/>
    <x v="39"/>
    <d v="2025-02-10T00:00:00"/>
    <x v="1"/>
    <x v="3"/>
    <x v="4"/>
    <x v="0"/>
    <x v="5"/>
    <x v="3"/>
    <x v="6"/>
    <x v="1"/>
  </r>
  <r>
    <x v="1005"/>
    <x v="4"/>
    <x v="1"/>
    <n v="20.7"/>
    <n v="41.4"/>
    <x v="39"/>
    <d v="2025-02-10T00:00:00"/>
    <x v="2"/>
    <x v="2"/>
    <x v="3"/>
    <x v="0"/>
    <x v="6"/>
    <x v="3"/>
    <x v="6"/>
    <x v="2"/>
  </r>
  <r>
    <x v="1006"/>
    <x v="0"/>
    <x v="0"/>
    <n v="35.700000000000003"/>
    <n v="35.700000000000003"/>
    <x v="39"/>
    <d v="2025-02-11T00:00:00"/>
    <x v="2"/>
    <x v="3"/>
    <x v="0"/>
    <x v="0"/>
    <x v="6"/>
    <x v="1"/>
    <x v="6"/>
    <x v="2"/>
  </r>
  <r>
    <x v="1007"/>
    <x v="2"/>
    <x v="27"/>
    <n v="166.2"/>
    <n v="2659.2"/>
    <x v="39"/>
    <d v="2025-02-11T00:00:00"/>
    <x v="0"/>
    <x v="2"/>
    <x v="0"/>
    <x v="0"/>
    <x v="7"/>
    <x v="1"/>
    <x v="6"/>
    <x v="0"/>
  </r>
  <r>
    <x v="1008"/>
    <x v="6"/>
    <x v="12"/>
    <n v="85.8"/>
    <n v="343.2"/>
    <x v="39"/>
    <d v="2025-02-10T00:00:00"/>
    <x v="2"/>
    <x v="1"/>
    <x v="1"/>
    <x v="0"/>
    <x v="7"/>
    <x v="3"/>
    <x v="6"/>
    <x v="2"/>
  </r>
  <r>
    <x v="1009"/>
    <x v="8"/>
    <x v="2"/>
    <n v="26"/>
    <n v="78"/>
    <x v="39"/>
    <d v="2025-02-11T00:00:00"/>
    <x v="3"/>
    <x v="1"/>
    <x v="0"/>
    <x v="0"/>
    <x v="7"/>
    <x v="1"/>
    <x v="6"/>
    <x v="3"/>
  </r>
  <r>
    <x v="1010"/>
    <x v="2"/>
    <x v="15"/>
    <n v="116.6"/>
    <n v="1515.8"/>
    <x v="39"/>
    <d v="2025-02-12T00:00:00"/>
    <x v="2"/>
    <x v="0"/>
    <x v="0"/>
    <x v="0"/>
    <x v="8"/>
    <x v="2"/>
    <x v="6"/>
    <x v="2"/>
  </r>
  <r>
    <x v="1011"/>
    <x v="9"/>
    <x v="3"/>
    <n v="53.9"/>
    <n v="377.3"/>
    <x v="39"/>
    <d v="2025-02-12T00:00:00"/>
    <x v="3"/>
    <x v="0"/>
    <x v="2"/>
    <x v="0"/>
    <x v="8"/>
    <x v="2"/>
    <x v="6"/>
    <x v="3"/>
  </r>
  <r>
    <x v="1012"/>
    <x v="12"/>
    <x v="9"/>
    <n v="72.3"/>
    <n v="361.5"/>
    <x v="39"/>
    <d v="2025-02-11T00:00:00"/>
    <x v="0"/>
    <x v="2"/>
    <x v="2"/>
    <x v="0"/>
    <x v="8"/>
    <x v="1"/>
    <x v="6"/>
    <x v="0"/>
  </r>
  <r>
    <x v="1013"/>
    <x v="5"/>
    <x v="1"/>
    <n v="31.4"/>
    <n v="62.8"/>
    <x v="39"/>
    <d v="2025-02-11T00:00:00"/>
    <x v="2"/>
    <x v="0"/>
    <x v="0"/>
    <x v="0"/>
    <x v="8"/>
    <x v="1"/>
    <x v="6"/>
    <x v="2"/>
  </r>
  <r>
    <x v="1014"/>
    <x v="13"/>
    <x v="1"/>
    <n v="53.1"/>
    <n v="106.2"/>
    <x v="39"/>
    <d v="2025-02-12T00:00:00"/>
    <x v="1"/>
    <x v="1"/>
    <x v="0"/>
    <x v="0"/>
    <x v="8"/>
    <x v="2"/>
    <x v="6"/>
    <x v="1"/>
  </r>
  <r>
    <x v="1015"/>
    <x v="2"/>
    <x v="12"/>
    <n v="56.2"/>
    <n v="224.8"/>
    <x v="39"/>
    <d v="2025-02-10T00:00:00"/>
    <x v="2"/>
    <x v="0"/>
    <x v="0"/>
    <x v="0"/>
    <x v="8"/>
    <x v="3"/>
    <x v="6"/>
    <x v="2"/>
  </r>
  <r>
    <x v="1016"/>
    <x v="1"/>
    <x v="7"/>
    <n v="77.3"/>
    <n v="773"/>
    <x v="39"/>
    <d v="2025-02-10T00:00:00"/>
    <x v="2"/>
    <x v="2"/>
    <x v="0"/>
    <x v="0"/>
    <x v="11"/>
    <x v="3"/>
    <x v="6"/>
    <x v="2"/>
  </r>
  <r>
    <x v="1017"/>
    <x v="6"/>
    <x v="15"/>
    <n v="57.8"/>
    <n v="751.4"/>
    <x v="39"/>
    <d v="2025-02-10T00:00:00"/>
    <x v="0"/>
    <x v="0"/>
    <x v="0"/>
    <x v="0"/>
    <x v="53"/>
    <x v="3"/>
    <x v="6"/>
    <x v="0"/>
  </r>
  <r>
    <x v="1018"/>
    <x v="12"/>
    <x v="20"/>
    <n v="42.1"/>
    <n v="631.5"/>
    <x v="39"/>
    <d v="2025-02-11T00:00:00"/>
    <x v="2"/>
    <x v="1"/>
    <x v="1"/>
    <x v="0"/>
    <x v="53"/>
    <x v="1"/>
    <x v="6"/>
    <x v="2"/>
  </r>
  <r>
    <x v="1019"/>
    <x v="8"/>
    <x v="11"/>
    <n v="22.8"/>
    <n v="205.20000000000002"/>
    <x v="39"/>
    <d v="2025-02-13T00:00:00"/>
    <x v="1"/>
    <x v="2"/>
    <x v="2"/>
    <x v="0"/>
    <x v="19"/>
    <x v="5"/>
    <x v="6"/>
    <x v="1"/>
  </r>
  <r>
    <x v="1020"/>
    <x v="2"/>
    <x v="2"/>
    <n v="171.1"/>
    <n v="513.29999999999995"/>
    <x v="40"/>
    <d v="2025-02-17T00:00:00"/>
    <x v="2"/>
    <x v="2"/>
    <x v="1"/>
    <x v="0"/>
    <x v="19"/>
    <x v="6"/>
    <x v="6"/>
    <x v="2"/>
  </r>
  <r>
    <x v="1021"/>
    <x v="8"/>
    <x v="0"/>
    <n v="28"/>
    <n v="28"/>
    <x v="40"/>
    <d v="2025-02-12T00:00:00"/>
    <x v="1"/>
    <x v="2"/>
    <x v="2"/>
    <x v="0"/>
    <x v="21"/>
    <x v="1"/>
    <x v="6"/>
    <x v="1"/>
  </r>
  <r>
    <x v="1022"/>
    <x v="6"/>
    <x v="3"/>
    <n v="50.2"/>
    <n v="351.40000000000003"/>
    <x v="40"/>
    <d v="2025-02-12T00:00:00"/>
    <x v="1"/>
    <x v="2"/>
    <x v="0"/>
    <x v="0"/>
    <x v="21"/>
    <x v="1"/>
    <x v="6"/>
    <x v="1"/>
  </r>
  <r>
    <x v="1023"/>
    <x v="6"/>
    <x v="1"/>
    <n v="56"/>
    <n v="112"/>
    <x v="40"/>
    <d v="2025-02-10T00:00:00"/>
    <x v="1"/>
    <x v="0"/>
    <x v="2"/>
    <x v="0"/>
    <x v="22"/>
    <x v="7"/>
    <x v="6"/>
    <x v="1"/>
  </r>
  <r>
    <x v="1024"/>
    <x v="1"/>
    <x v="1"/>
    <n v="38.299999999999997"/>
    <n v="76.599999999999994"/>
    <x v="40"/>
    <d v="2025-02-11T00:00:00"/>
    <x v="2"/>
    <x v="1"/>
    <x v="0"/>
    <x v="0"/>
    <x v="3"/>
    <x v="3"/>
    <x v="6"/>
    <x v="2"/>
  </r>
  <r>
    <x v="1025"/>
    <x v="0"/>
    <x v="9"/>
    <n v="22.3"/>
    <n v="111.5"/>
    <x v="40"/>
    <d v="2025-02-14T00:00:00"/>
    <x v="2"/>
    <x v="2"/>
    <x v="1"/>
    <x v="0"/>
    <x v="3"/>
    <x v="5"/>
    <x v="6"/>
    <x v="2"/>
  </r>
  <r>
    <x v="1026"/>
    <x v="0"/>
    <x v="2"/>
    <n v="22.3"/>
    <n v="66.900000000000006"/>
    <x v="40"/>
    <d v="2025-02-13T00:00:00"/>
    <x v="2"/>
    <x v="2"/>
    <x v="0"/>
    <x v="0"/>
    <x v="3"/>
    <x v="2"/>
    <x v="6"/>
    <x v="2"/>
  </r>
  <r>
    <x v="1027"/>
    <x v="1"/>
    <x v="0"/>
    <n v="32.9"/>
    <n v="32.9"/>
    <x v="40"/>
    <d v="2025-02-15T00:00:00"/>
    <x v="2"/>
    <x v="0"/>
    <x v="0"/>
    <x v="0"/>
    <x v="3"/>
    <x v="0"/>
    <x v="6"/>
    <x v="2"/>
  </r>
  <r>
    <x v="1028"/>
    <x v="10"/>
    <x v="2"/>
    <n v="31.9"/>
    <n v="95.699999999999989"/>
    <x v="40"/>
    <d v="2025-02-15T00:00:00"/>
    <x v="2"/>
    <x v="0"/>
    <x v="0"/>
    <x v="0"/>
    <x v="3"/>
    <x v="0"/>
    <x v="6"/>
    <x v="2"/>
  </r>
  <r>
    <x v="1029"/>
    <x v="6"/>
    <x v="1"/>
    <n v="94"/>
    <n v="188"/>
    <x v="40"/>
    <d v="2025-02-11T00:00:00"/>
    <x v="1"/>
    <x v="2"/>
    <x v="2"/>
    <x v="0"/>
    <x v="3"/>
    <x v="3"/>
    <x v="6"/>
    <x v="1"/>
  </r>
  <r>
    <x v="1030"/>
    <x v="10"/>
    <x v="1"/>
    <n v="30.7"/>
    <n v="61.4"/>
    <x v="40"/>
    <d v="2025-02-11T00:00:00"/>
    <x v="2"/>
    <x v="0"/>
    <x v="1"/>
    <x v="0"/>
    <x v="3"/>
    <x v="3"/>
    <x v="6"/>
    <x v="2"/>
  </r>
  <r>
    <x v="1031"/>
    <x v="5"/>
    <x v="9"/>
    <n v="90.5"/>
    <n v="452.5"/>
    <x v="40"/>
    <d v="2025-02-17T00:00:00"/>
    <x v="1"/>
    <x v="0"/>
    <x v="2"/>
    <x v="0"/>
    <x v="3"/>
    <x v="6"/>
    <x v="6"/>
    <x v="1"/>
  </r>
  <r>
    <x v="1032"/>
    <x v="8"/>
    <x v="9"/>
    <n v="25.3"/>
    <n v="126.5"/>
    <x v="40"/>
    <d v="2025-02-14T00:00:00"/>
    <x v="2"/>
    <x v="0"/>
    <x v="2"/>
    <x v="0"/>
    <x v="3"/>
    <x v="5"/>
    <x v="6"/>
    <x v="2"/>
  </r>
  <r>
    <x v="1033"/>
    <x v="6"/>
    <x v="2"/>
    <n v="58.1"/>
    <n v="174.3"/>
    <x v="40"/>
    <d v="2025-02-14T00:00:00"/>
    <x v="0"/>
    <x v="0"/>
    <x v="2"/>
    <x v="0"/>
    <x v="3"/>
    <x v="5"/>
    <x v="6"/>
    <x v="0"/>
  </r>
  <r>
    <x v="1034"/>
    <x v="2"/>
    <x v="2"/>
    <n v="74.900000000000006"/>
    <n v="224.70000000000002"/>
    <x v="40"/>
    <d v="2025-02-11T00:00:00"/>
    <x v="2"/>
    <x v="4"/>
    <x v="0"/>
    <x v="0"/>
    <x v="3"/>
    <x v="3"/>
    <x v="6"/>
    <x v="2"/>
  </r>
  <r>
    <x v="1035"/>
    <x v="4"/>
    <x v="1"/>
    <n v="32.5"/>
    <n v="65"/>
    <x v="40"/>
    <d v="2025-02-11T00:00:00"/>
    <x v="1"/>
    <x v="2"/>
    <x v="2"/>
    <x v="0"/>
    <x v="43"/>
    <x v="3"/>
    <x v="6"/>
    <x v="1"/>
  </r>
  <r>
    <x v="1036"/>
    <x v="4"/>
    <x v="9"/>
    <n v="62"/>
    <n v="310"/>
    <x v="40"/>
    <d v="2025-02-11T00:00:00"/>
    <x v="1"/>
    <x v="4"/>
    <x v="2"/>
    <x v="0"/>
    <x v="25"/>
    <x v="3"/>
    <x v="6"/>
    <x v="1"/>
  </r>
  <r>
    <x v="1037"/>
    <x v="13"/>
    <x v="13"/>
    <n v="28.9"/>
    <n v="173.39999999999998"/>
    <x v="40"/>
    <d v="2025-02-13T00:00:00"/>
    <x v="2"/>
    <x v="0"/>
    <x v="1"/>
    <x v="0"/>
    <x v="6"/>
    <x v="2"/>
    <x v="6"/>
    <x v="2"/>
  </r>
  <r>
    <x v="1038"/>
    <x v="6"/>
    <x v="8"/>
    <n v="42.8"/>
    <n v="342.4"/>
    <x v="40"/>
    <d v="2025-02-12T00:00:00"/>
    <x v="2"/>
    <x v="0"/>
    <x v="2"/>
    <x v="0"/>
    <x v="6"/>
    <x v="1"/>
    <x v="6"/>
    <x v="2"/>
  </r>
  <r>
    <x v="1039"/>
    <x v="8"/>
    <x v="8"/>
    <n v="39.4"/>
    <n v="315.2"/>
    <x v="40"/>
    <d v="2025-02-12T00:00:00"/>
    <x v="1"/>
    <x v="0"/>
    <x v="0"/>
    <x v="0"/>
    <x v="36"/>
    <x v="1"/>
    <x v="6"/>
    <x v="1"/>
  </r>
  <r>
    <x v="1040"/>
    <x v="18"/>
    <x v="2"/>
    <n v="66.400000000000006"/>
    <n v="199.20000000000002"/>
    <x v="40"/>
    <d v="2025-02-11T00:00:00"/>
    <x v="0"/>
    <x v="2"/>
    <x v="1"/>
    <x v="0"/>
    <x v="7"/>
    <x v="3"/>
    <x v="6"/>
    <x v="0"/>
  </r>
  <r>
    <x v="1041"/>
    <x v="17"/>
    <x v="12"/>
    <n v="35.9"/>
    <n v="143.6"/>
    <x v="40"/>
    <d v="2025-02-17T00:00:00"/>
    <x v="2"/>
    <x v="1"/>
    <x v="0"/>
    <x v="0"/>
    <x v="7"/>
    <x v="6"/>
    <x v="6"/>
    <x v="2"/>
  </r>
  <r>
    <x v="1042"/>
    <x v="0"/>
    <x v="12"/>
    <n v="26.9"/>
    <n v="107.6"/>
    <x v="40"/>
    <d v="2025-02-11T00:00:00"/>
    <x v="1"/>
    <x v="1"/>
    <x v="0"/>
    <x v="0"/>
    <x v="7"/>
    <x v="3"/>
    <x v="6"/>
    <x v="1"/>
  </r>
  <r>
    <x v="1043"/>
    <x v="2"/>
    <x v="0"/>
    <n v="55.1"/>
    <n v="55.1"/>
    <x v="40"/>
    <d v="2025-02-11T00:00:00"/>
    <x v="2"/>
    <x v="0"/>
    <x v="0"/>
    <x v="0"/>
    <x v="7"/>
    <x v="3"/>
    <x v="6"/>
    <x v="2"/>
  </r>
  <r>
    <x v="1044"/>
    <x v="4"/>
    <x v="1"/>
    <n v="23.9"/>
    <n v="47.8"/>
    <x v="40"/>
    <d v="2025-02-11T00:00:00"/>
    <x v="1"/>
    <x v="0"/>
    <x v="2"/>
    <x v="0"/>
    <x v="8"/>
    <x v="3"/>
    <x v="6"/>
    <x v="1"/>
  </r>
  <r>
    <x v="1045"/>
    <x v="9"/>
    <x v="15"/>
    <n v="21.1"/>
    <n v="274.3"/>
    <x v="40"/>
    <d v="2025-02-18T00:00:00"/>
    <x v="2"/>
    <x v="0"/>
    <x v="1"/>
    <x v="0"/>
    <x v="8"/>
    <x v="9"/>
    <x v="6"/>
    <x v="2"/>
  </r>
  <r>
    <x v="1046"/>
    <x v="8"/>
    <x v="9"/>
    <n v="33.799999999999997"/>
    <n v="169"/>
    <x v="40"/>
    <d v="2025-02-12T00:00:00"/>
    <x v="2"/>
    <x v="0"/>
    <x v="0"/>
    <x v="0"/>
    <x v="8"/>
    <x v="1"/>
    <x v="6"/>
    <x v="2"/>
  </r>
  <r>
    <x v="1047"/>
    <x v="2"/>
    <x v="12"/>
    <n v="56.1"/>
    <n v="224.4"/>
    <x v="40"/>
    <d v="2025-02-10T00:00:00"/>
    <x v="2"/>
    <x v="3"/>
    <x v="2"/>
    <x v="0"/>
    <x v="9"/>
    <x v="7"/>
    <x v="6"/>
    <x v="2"/>
  </r>
  <r>
    <x v="1048"/>
    <x v="3"/>
    <x v="0"/>
    <n v="58.5"/>
    <n v="58.5"/>
    <x v="41"/>
    <d v="2025-02-15T00:00:00"/>
    <x v="2"/>
    <x v="1"/>
    <x v="2"/>
    <x v="0"/>
    <x v="9"/>
    <x v="5"/>
    <x v="6"/>
    <x v="2"/>
  </r>
  <r>
    <x v="1049"/>
    <x v="6"/>
    <x v="0"/>
    <n v="84.2"/>
    <n v="84.2"/>
    <x v="41"/>
    <d v="2025-02-13T00:00:00"/>
    <x v="1"/>
    <x v="3"/>
    <x v="0"/>
    <x v="0"/>
    <x v="11"/>
    <x v="1"/>
    <x v="6"/>
    <x v="1"/>
  </r>
  <r>
    <x v="1050"/>
    <x v="11"/>
    <x v="12"/>
    <n v="52"/>
    <n v="208"/>
    <x v="41"/>
    <d v="2025-02-14T00:00:00"/>
    <x v="1"/>
    <x v="0"/>
    <x v="0"/>
    <x v="0"/>
    <x v="11"/>
    <x v="2"/>
    <x v="6"/>
    <x v="1"/>
  </r>
  <r>
    <x v="1051"/>
    <x v="4"/>
    <x v="9"/>
    <n v="31.5"/>
    <n v="157.5"/>
    <x v="41"/>
    <d v="2025-02-12T00:00:00"/>
    <x v="2"/>
    <x v="0"/>
    <x v="2"/>
    <x v="0"/>
    <x v="11"/>
    <x v="3"/>
    <x v="6"/>
    <x v="2"/>
  </r>
  <r>
    <x v="1052"/>
    <x v="16"/>
    <x v="2"/>
    <n v="46.2"/>
    <n v="138.60000000000002"/>
    <x v="41"/>
    <d v="2025-02-12T00:00:00"/>
    <x v="1"/>
    <x v="0"/>
    <x v="0"/>
    <x v="0"/>
    <x v="53"/>
    <x v="3"/>
    <x v="6"/>
    <x v="1"/>
  </r>
  <r>
    <x v="1053"/>
    <x v="2"/>
    <x v="13"/>
    <n v="135"/>
    <n v="810"/>
    <x v="41"/>
    <d v="2025-02-12T00:00:00"/>
    <x v="2"/>
    <x v="1"/>
    <x v="2"/>
    <x v="0"/>
    <x v="18"/>
    <x v="3"/>
    <x v="6"/>
    <x v="2"/>
  </r>
  <r>
    <x v="1054"/>
    <x v="12"/>
    <x v="2"/>
    <n v="92.2"/>
    <n v="276.60000000000002"/>
    <x v="41"/>
    <d v="2025-02-15T00:00:00"/>
    <x v="1"/>
    <x v="0"/>
    <x v="0"/>
    <x v="0"/>
    <x v="21"/>
    <x v="5"/>
    <x v="6"/>
    <x v="1"/>
  </r>
  <r>
    <x v="1055"/>
    <x v="8"/>
    <x v="0"/>
    <n v="36.6"/>
    <n v="36.6"/>
    <x v="41"/>
    <d v="2025-02-13T00:00:00"/>
    <x v="1"/>
    <x v="2"/>
    <x v="2"/>
    <x v="0"/>
    <x v="21"/>
    <x v="1"/>
    <x v="6"/>
    <x v="1"/>
  </r>
  <r>
    <x v="1056"/>
    <x v="9"/>
    <x v="1"/>
    <n v="50.6"/>
    <n v="101.2"/>
    <x v="41"/>
    <d v="2025-02-14T00:00:00"/>
    <x v="2"/>
    <x v="0"/>
    <x v="0"/>
    <x v="0"/>
    <x v="2"/>
    <x v="2"/>
    <x v="6"/>
    <x v="2"/>
  </r>
  <r>
    <x v="1057"/>
    <x v="18"/>
    <x v="3"/>
    <n v="56.7"/>
    <n v="396.90000000000003"/>
    <x v="41"/>
    <d v="2025-02-14T00:00:00"/>
    <x v="2"/>
    <x v="0"/>
    <x v="0"/>
    <x v="0"/>
    <x v="2"/>
    <x v="2"/>
    <x v="6"/>
    <x v="2"/>
  </r>
  <r>
    <x v="1058"/>
    <x v="9"/>
    <x v="15"/>
    <n v="22.9"/>
    <n v="297.7"/>
    <x v="41"/>
    <d v="2025-02-12T00:00:00"/>
    <x v="2"/>
    <x v="0"/>
    <x v="1"/>
    <x v="0"/>
    <x v="44"/>
    <x v="3"/>
    <x v="6"/>
    <x v="2"/>
  </r>
  <r>
    <x v="1059"/>
    <x v="15"/>
    <x v="10"/>
    <n v="53.6"/>
    <n v="1018.4"/>
    <x v="41"/>
    <d v="2025-02-12T00:00:00"/>
    <x v="1"/>
    <x v="0"/>
    <x v="0"/>
    <x v="0"/>
    <x v="22"/>
    <x v="3"/>
    <x v="6"/>
    <x v="1"/>
  </r>
  <r>
    <x v="1060"/>
    <x v="18"/>
    <x v="1"/>
    <n v="30.2"/>
    <n v="60.4"/>
    <x v="41"/>
    <d v="2025-02-13T00:00:00"/>
    <x v="0"/>
    <x v="2"/>
    <x v="2"/>
    <x v="0"/>
    <x v="3"/>
    <x v="1"/>
    <x v="6"/>
    <x v="0"/>
  </r>
  <r>
    <x v="1061"/>
    <x v="15"/>
    <x v="13"/>
    <n v="83.4"/>
    <n v="500.40000000000003"/>
    <x v="41"/>
    <d v="2025-02-12T00:00:00"/>
    <x v="1"/>
    <x v="1"/>
    <x v="2"/>
    <x v="0"/>
    <x v="3"/>
    <x v="3"/>
    <x v="6"/>
    <x v="1"/>
  </r>
  <r>
    <x v="1062"/>
    <x v="13"/>
    <x v="4"/>
    <n v="16.600000000000001"/>
    <n v="199.20000000000002"/>
    <x v="41"/>
    <d v="2025-02-13T00:00:00"/>
    <x v="1"/>
    <x v="1"/>
    <x v="0"/>
    <x v="0"/>
    <x v="3"/>
    <x v="1"/>
    <x v="6"/>
    <x v="1"/>
  </r>
  <r>
    <x v="1063"/>
    <x v="8"/>
    <x v="14"/>
    <n v="21.9"/>
    <n v="372.29999999999995"/>
    <x v="41"/>
    <d v="2025-02-13T00:00:00"/>
    <x v="2"/>
    <x v="4"/>
    <x v="1"/>
    <x v="0"/>
    <x v="3"/>
    <x v="1"/>
    <x v="6"/>
    <x v="2"/>
  </r>
  <r>
    <x v="1064"/>
    <x v="8"/>
    <x v="31"/>
    <n v="33.799999999999997"/>
    <n v="946.39999999999986"/>
    <x v="41"/>
    <d v="2025-02-13T00:00:00"/>
    <x v="1"/>
    <x v="2"/>
    <x v="4"/>
    <x v="0"/>
    <x v="3"/>
    <x v="1"/>
    <x v="6"/>
    <x v="1"/>
  </r>
  <r>
    <x v="1065"/>
    <x v="18"/>
    <x v="1"/>
    <n v="53.2"/>
    <n v="106.4"/>
    <x v="41"/>
    <d v="2025-02-11T00:00:00"/>
    <x v="1"/>
    <x v="1"/>
    <x v="0"/>
    <x v="0"/>
    <x v="3"/>
    <x v="7"/>
    <x v="6"/>
    <x v="1"/>
  </r>
  <r>
    <x v="1066"/>
    <x v="2"/>
    <x v="1"/>
    <n v="176.7"/>
    <n v="353.4"/>
    <x v="41"/>
    <d v="2025-02-14T00:00:00"/>
    <x v="2"/>
    <x v="2"/>
    <x v="0"/>
    <x v="0"/>
    <x v="3"/>
    <x v="2"/>
    <x v="6"/>
    <x v="2"/>
  </r>
  <r>
    <x v="1067"/>
    <x v="12"/>
    <x v="2"/>
    <n v="54"/>
    <n v="162"/>
    <x v="41"/>
    <d v="2025-02-14T00:00:00"/>
    <x v="1"/>
    <x v="0"/>
    <x v="1"/>
    <x v="0"/>
    <x v="3"/>
    <x v="2"/>
    <x v="6"/>
    <x v="1"/>
  </r>
  <r>
    <x v="1068"/>
    <x v="9"/>
    <x v="1"/>
    <n v="70.099999999999994"/>
    <n v="140.19999999999999"/>
    <x v="41"/>
    <d v="2025-02-19T00:00:00"/>
    <x v="2"/>
    <x v="3"/>
    <x v="2"/>
    <x v="0"/>
    <x v="3"/>
    <x v="9"/>
    <x v="6"/>
    <x v="2"/>
  </r>
  <r>
    <x v="1069"/>
    <x v="8"/>
    <x v="0"/>
    <n v="26.5"/>
    <n v="26.5"/>
    <x v="41"/>
    <d v="2025-02-13T00:00:00"/>
    <x v="2"/>
    <x v="1"/>
    <x v="0"/>
    <x v="0"/>
    <x v="3"/>
    <x v="1"/>
    <x v="6"/>
    <x v="2"/>
  </r>
  <r>
    <x v="1070"/>
    <x v="7"/>
    <x v="9"/>
    <n v="89"/>
    <n v="445"/>
    <x v="41"/>
    <d v="2025-02-13T00:00:00"/>
    <x v="1"/>
    <x v="2"/>
    <x v="4"/>
    <x v="0"/>
    <x v="3"/>
    <x v="1"/>
    <x v="6"/>
    <x v="1"/>
  </r>
  <r>
    <x v="1071"/>
    <x v="1"/>
    <x v="13"/>
    <n v="47"/>
    <n v="282"/>
    <x v="41"/>
    <d v="2025-02-14T00:00:00"/>
    <x v="2"/>
    <x v="3"/>
    <x v="0"/>
    <x v="0"/>
    <x v="24"/>
    <x v="2"/>
    <x v="6"/>
    <x v="2"/>
  </r>
  <r>
    <x v="1072"/>
    <x v="3"/>
    <x v="1"/>
    <n v="55.2"/>
    <n v="110.4"/>
    <x v="41"/>
    <d v="2025-02-14T00:00:00"/>
    <x v="1"/>
    <x v="1"/>
    <x v="1"/>
    <x v="0"/>
    <x v="6"/>
    <x v="2"/>
    <x v="6"/>
    <x v="1"/>
  </r>
  <r>
    <x v="1073"/>
    <x v="8"/>
    <x v="39"/>
    <n v="33.299999999999997"/>
    <n v="1398.6"/>
    <x v="41"/>
    <d v="2025-02-25T00:00:00"/>
    <x v="1"/>
    <x v="1"/>
    <x v="2"/>
    <x v="0"/>
    <x v="6"/>
    <x v="12"/>
    <x v="6"/>
    <x v="1"/>
  </r>
  <r>
    <x v="1074"/>
    <x v="2"/>
    <x v="12"/>
    <n v="110.9"/>
    <n v="443.6"/>
    <x v="42"/>
    <d v="2025-02-12T00:00:00"/>
    <x v="1"/>
    <x v="2"/>
    <x v="4"/>
    <x v="0"/>
    <x v="6"/>
    <x v="7"/>
    <x v="6"/>
    <x v="1"/>
  </r>
  <r>
    <x v="1075"/>
    <x v="2"/>
    <x v="13"/>
    <n v="67.3"/>
    <n v="403.79999999999995"/>
    <x v="42"/>
    <d v="2025-02-13T00:00:00"/>
    <x v="1"/>
    <x v="0"/>
    <x v="0"/>
    <x v="0"/>
    <x v="8"/>
    <x v="3"/>
    <x v="6"/>
    <x v="1"/>
  </r>
  <r>
    <x v="1076"/>
    <x v="6"/>
    <x v="2"/>
    <n v="69.7"/>
    <n v="209.10000000000002"/>
    <x v="42"/>
    <d v="2025-02-13T00:00:00"/>
    <x v="1"/>
    <x v="2"/>
    <x v="1"/>
    <x v="0"/>
    <x v="8"/>
    <x v="3"/>
    <x v="6"/>
    <x v="1"/>
  </r>
  <r>
    <x v="1077"/>
    <x v="5"/>
    <x v="0"/>
    <n v="39.1"/>
    <n v="39.1"/>
    <x v="42"/>
    <d v="2025-02-17T00:00:00"/>
    <x v="1"/>
    <x v="0"/>
    <x v="1"/>
    <x v="0"/>
    <x v="17"/>
    <x v="0"/>
    <x v="6"/>
    <x v="1"/>
  </r>
  <r>
    <x v="1078"/>
    <x v="2"/>
    <x v="2"/>
    <n v="208.6"/>
    <n v="625.79999999999995"/>
    <x v="42"/>
    <d v="2025-02-12T00:00:00"/>
    <x v="1"/>
    <x v="4"/>
    <x v="2"/>
    <x v="0"/>
    <x v="17"/>
    <x v="7"/>
    <x v="6"/>
    <x v="1"/>
  </r>
  <r>
    <x v="1079"/>
    <x v="15"/>
    <x v="2"/>
    <n v="27.8"/>
    <n v="83.4"/>
    <x v="42"/>
    <d v="2025-02-13T00:00:00"/>
    <x v="1"/>
    <x v="3"/>
    <x v="1"/>
    <x v="0"/>
    <x v="11"/>
    <x v="3"/>
    <x v="6"/>
    <x v="1"/>
  </r>
  <r>
    <x v="1080"/>
    <x v="10"/>
    <x v="9"/>
    <n v="29.4"/>
    <n v="147"/>
    <x v="42"/>
    <d v="2025-02-14T00:00:00"/>
    <x v="2"/>
    <x v="0"/>
    <x v="0"/>
    <x v="0"/>
    <x v="11"/>
    <x v="1"/>
    <x v="6"/>
    <x v="2"/>
  </r>
  <r>
    <x v="1081"/>
    <x v="9"/>
    <x v="1"/>
    <n v="29.2"/>
    <n v="58.4"/>
    <x v="42"/>
    <d v="2025-02-14T00:00:00"/>
    <x v="2"/>
    <x v="1"/>
    <x v="2"/>
    <x v="0"/>
    <x v="20"/>
    <x v="1"/>
    <x v="6"/>
    <x v="2"/>
  </r>
  <r>
    <x v="1082"/>
    <x v="10"/>
    <x v="9"/>
    <n v="26.5"/>
    <n v="132.5"/>
    <x v="42"/>
    <d v="2025-02-14T00:00:00"/>
    <x v="2"/>
    <x v="0"/>
    <x v="0"/>
    <x v="0"/>
    <x v="52"/>
    <x v="1"/>
    <x v="6"/>
    <x v="2"/>
  </r>
  <r>
    <x v="1083"/>
    <x v="5"/>
    <x v="0"/>
    <n v="30.3"/>
    <n v="30.3"/>
    <x v="42"/>
    <d v="2025-02-13T00:00:00"/>
    <x v="2"/>
    <x v="4"/>
    <x v="1"/>
    <x v="0"/>
    <x v="13"/>
    <x v="3"/>
    <x v="6"/>
    <x v="2"/>
  </r>
  <r>
    <x v="1084"/>
    <x v="16"/>
    <x v="4"/>
    <n v="39.700000000000003"/>
    <n v="476.40000000000003"/>
    <x v="42"/>
    <d v="2025-02-13T00:00:00"/>
    <x v="2"/>
    <x v="0"/>
    <x v="0"/>
    <x v="0"/>
    <x v="21"/>
    <x v="3"/>
    <x v="6"/>
    <x v="2"/>
  </r>
  <r>
    <x v="1085"/>
    <x v="7"/>
    <x v="7"/>
    <n v="58.9"/>
    <n v="589"/>
    <x v="42"/>
    <d v="2025-02-14T00:00:00"/>
    <x v="2"/>
    <x v="1"/>
    <x v="4"/>
    <x v="0"/>
    <x v="21"/>
    <x v="1"/>
    <x v="6"/>
    <x v="2"/>
  </r>
  <r>
    <x v="1086"/>
    <x v="2"/>
    <x v="1"/>
    <n v="174.1"/>
    <n v="348.2"/>
    <x v="42"/>
    <d v="2025-02-14T00:00:00"/>
    <x v="2"/>
    <x v="0"/>
    <x v="1"/>
    <x v="0"/>
    <x v="46"/>
    <x v="1"/>
    <x v="6"/>
    <x v="2"/>
  </r>
  <r>
    <x v="1087"/>
    <x v="6"/>
    <x v="1"/>
    <n v="70.8"/>
    <n v="141.6"/>
    <x v="42"/>
    <d v="2025-02-15T00:00:00"/>
    <x v="1"/>
    <x v="2"/>
    <x v="0"/>
    <x v="0"/>
    <x v="22"/>
    <x v="2"/>
    <x v="6"/>
    <x v="1"/>
  </r>
  <r>
    <x v="1088"/>
    <x v="7"/>
    <x v="1"/>
    <n v="57.4"/>
    <n v="114.8"/>
    <x v="42"/>
    <d v="2025-02-14T00:00:00"/>
    <x v="2"/>
    <x v="1"/>
    <x v="1"/>
    <x v="0"/>
    <x v="34"/>
    <x v="1"/>
    <x v="6"/>
    <x v="2"/>
  </r>
  <r>
    <x v="1089"/>
    <x v="0"/>
    <x v="1"/>
    <n v="28.5"/>
    <n v="57"/>
    <x v="42"/>
    <d v="2025-02-14T00:00:00"/>
    <x v="1"/>
    <x v="3"/>
    <x v="1"/>
    <x v="0"/>
    <x v="3"/>
    <x v="1"/>
    <x v="6"/>
    <x v="1"/>
  </r>
  <r>
    <x v="1090"/>
    <x v="2"/>
    <x v="28"/>
    <n v="106.6"/>
    <n v="2132"/>
    <x v="42"/>
    <d v="2025-02-13T00:00:00"/>
    <x v="0"/>
    <x v="1"/>
    <x v="4"/>
    <x v="0"/>
    <x v="3"/>
    <x v="3"/>
    <x v="6"/>
    <x v="0"/>
  </r>
  <r>
    <x v="1091"/>
    <x v="2"/>
    <x v="2"/>
    <n v="119.7"/>
    <n v="359.1"/>
    <x v="42"/>
    <d v="2025-02-13T00:00:00"/>
    <x v="2"/>
    <x v="1"/>
    <x v="4"/>
    <x v="0"/>
    <x v="3"/>
    <x v="3"/>
    <x v="6"/>
    <x v="2"/>
  </r>
  <r>
    <x v="1092"/>
    <x v="18"/>
    <x v="0"/>
    <n v="73.3"/>
    <n v="73.3"/>
    <x v="42"/>
    <d v="2025-02-17T00:00:00"/>
    <x v="2"/>
    <x v="0"/>
    <x v="2"/>
    <x v="0"/>
    <x v="3"/>
    <x v="0"/>
    <x v="6"/>
    <x v="2"/>
  </r>
  <r>
    <x v="1093"/>
    <x v="0"/>
    <x v="1"/>
    <n v="25.8"/>
    <n v="51.6"/>
    <x v="42"/>
    <d v="2025-02-26T00:00:00"/>
    <x v="1"/>
    <x v="2"/>
    <x v="0"/>
    <x v="0"/>
    <x v="3"/>
    <x v="12"/>
    <x v="6"/>
    <x v="1"/>
  </r>
  <r>
    <x v="1094"/>
    <x v="17"/>
    <x v="2"/>
    <n v="49.1"/>
    <n v="147.30000000000001"/>
    <x v="42"/>
    <d v="2025-02-14T00:00:00"/>
    <x v="2"/>
    <x v="0"/>
    <x v="0"/>
    <x v="0"/>
    <x v="24"/>
    <x v="1"/>
    <x v="6"/>
    <x v="2"/>
  </r>
  <r>
    <x v="1095"/>
    <x v="1"/>
    <x v="0"/>
    <n v="44.9"/>
    <n v="44.9"/>
    <x v="42"/>
    <d v="2025-02-15T00:00:00"/>
    <x v="2"/>
    <x v="3"/>
    <x v="2"/>
    <x v="0"/>
    <x v="6"/>
    <x v="2"/>
    <x v="6"/>
    <x v="2"/>
  </r>
  <r>
    <x v="1096"/>
    <x v="15"/>
    <x v="3"/>
    <n v="29.9"/>
    <n v="209.29999999999998"/>
    <x v="42"/>
    <d v="2025-02-13T00:00:00"/>
    <x v="2"/>
    <x v="0"/>
    <x v="0"/>
    <x v="0"/>
    <x v="6"/>
    <x v="3"/>
    <x v="6"/>
    <x v="2"/>
  </r>
  <r>
    <x v="1097"/>
    <x v="7"/>
    <x v="1"/>
    <n v="54.3"/>
    <n v="108.6"/>
    <x v="43"/>
    <d v="2025-02-14T00:00:00"/>
    <x v="1"/>
    <x v="3"/>
    <x v="0"/>
    <x v="0"/>
    <x v="36"/>
    <x v="3"/>
    <x v="6"/>
    <x v="1"/>
  </r>
  <r>
    <x v="1098"/>
    <x v="9"/>
    <x v="12"/>
    <n v="57"/>
    <n v="228"/>
    <x v="43"/>
    <d v="2025-02-15T00:00:00"/>
    <x v="2"/>
    <x v="0"/>
    <x v="0"/>
    <x v="0"/>
    <x v="8"/>
    <x v="1"/>
    <x v="6"/>
    <x v="2"/>
  </r>
  <r>
    <x v="1099"/>
    <x v="2"/>
    <x v="0"/>
    <n v="139.19999999999999"/>
    <n v="139.19999999999999"/>
    <x v="43"/>
    <d v="2025-02-14T00:00:00"/>
    <x v="2"/>
    <x v="3"/>
    <x v="2"/>
    <x v="0"/>
    <x v="8"/>
    <x v="3"/>
    <x v="6"/>
    <x v="2"/>
  </r>
  <r>
    <x v="1100"/>
    <x v="10"/>
    <x v="0"/>
    <n v="33"/>
    <n v="33"/>
    <x v="43"/>
    <d v="2025-02-16T00:00:00"/>
    <x v="2"/>
    <x v="0"/>
    <x v="2"/>
    <x v="0"/>
    <x v="8"/>
    <x v="2"/>
    <x v="6"/>
    <x v="2"/>
  </r>
  <r>
    <x v="1101"/>
    <x v="11"/>
    <x v="13"/>
    <n v="80.2"/>
    <n v="481.20000000000005"/>
    <x v="43"/>
    <d v="2025-02-15T00:00:00"/>
    <x v="1"/>
    <x v="1"/>
    <x v="4"/>
    <x v="0"/>
    <x v="8"/>
    <x v="1"/>
    <x v="6"/>
    <x v="1"/>
  </r>
  <r>
    <x v="1102"/>
    <x v="18"/>
    <x v="8"/>
    <n v="49"/>
    <n v="392"/>
    <x v="43"/>
    <d v="2025-02-14T00:00:00"/>
    <x v="0"/>
    <x v="2"/>
    <x v="1"/>
    <x v="0"/>
    <x v="9"/>
    <x v="3"/>
    <x v="6"/>
    <x v="0"/>
  </r>
  <r>
    <x v="1103"/>
    <x v="1"/>
    <x v="12"/>
    <n v="104.4"/>
    <n v="417.6"/>
    <x v="43"/>
    <d v="2025-02-13T00:00:00"/>
    <x v="2"/>
    <x v="0"/>
    <x v="0"/>
    <x v="0"/>
    <x v="9"/>
    <x v="7"/>
    <x v="6"/>
    <x v="2"/>
  </r>
  <r>
    <x v="1104"/>
    <x v="3"/>
    <x v="0"/>
    <n v="41.6"/>
    <n v="41.6"/>
    <x v="43"/>
    <d v="2025-02-16T00:00:00"/>
    <x v="1"/>
    <x v="3"/>
    <x v="0"/>
    <x v="0"/>
    <x v="11"/>
    <x v="2"/>
    <x v="6"/>
    <x v="1"/>
  </r>
  <r>
    <x v="1105"/>
    <x v="19"/>
    <x v="1"/>
    <n v="16.399999999999999"/>
    <n v="32.799999999999997"/>
    <x v="43"/>
    <d v="2025-02-14T00:00:00"/>
    <x v="3"/>
    <x v="0"/>
    <x v="2"/>
    <x v="0"/>
    <x v="11"/>
    <x v="3"/>
    <x v="6"/>
    <x v="3"/>
  </r>
  <r>
    <x v="1106"/>
    <x v="8"/>
    <x v="1"/>
    <n v="22"/>
    <n v="44"/>
    <x v="43"/>
    <d v="2025-02-14T00:00:00"/>
    <x v="1"/>
    <x v="2"/>
    <x v="2"/>
    <x v="0"/>
    <x v="53"/>
    <x v="3"/>
    <x v="6"/>
    <x v="1"/>
  </r>
  <r>
    <x v="1107"/>
    <x v="15"/>
    <x v="1"/>
    <n v="33.6"/>
    <n v="67.2"/>
    <x v="43"/>
    <d v="2025-02-18T00:00:00"/>
    <x v="2"/>
    <x v="0"/>
    <x v="0"/>
    <x v="0"/>
    <x v="21"/>
    <x v="0"/>
    <x v="6"/>
    <x v="2"/>
  </r>
  <r>
    <x v="1108"/>
    <x v="11"/>
    <x v="13"/>
    <n v="43"/>
    <n v="258"/>
    <x v="43"/>
    <d v="2025-02-14T00:00:00"/>
    <x v="2"/>
    <x v="2"/>
    <x v="0"/>
    <x v="0"/>
    <x v="21"/>
    <x v="3"/>
    <x v="6"/>
    <x v="2"/>
  </r>
  <r>
    <x v="1109"/>
    <x v="6"/>
    <x v="9"/>
    <n v="108.8"/>
    <n v="544"/>
    <x v="43"/>
    <d v="2025-02-16T00:00:00"/>
    <x v="2"/>
    <x v="4"/>
    <x v="2"/>
    <x v="0"/>
    <x v="21"/>
    <x v="2"/>
    <x v="6"/>
    <x v="2"/>
  </r>
  <r>
    <x v="1110"/>
    <x v="0"/>
    <x v="11"/>
    <n v="29.3"/>
    <n v="263.7"/>
    <x v="43"/>
    <d v="2025-02-15T00:00:00"/>
    <x v="1"/>
    <x v="4"/>
    <x v="2"/>
    <x v="0"/>
    <x v="21"/>
    <x v="1"/>
    <x v="6"/>
    <x v="1"/>
  </r>
  <r>
    <x v="1111"/>
    <x v="2"/>
    <x v="0"/>
    <n v="122.7"/>
    <n v="122.7"/>
    <x v="43"/>
    <d v="2025-02-16T00:00:00"/>
    <x v="3"/>
    <x v="0"/>
    <x v="2"/>
    <x v="0"/>
    <x v="1"/>
    <x v="2"/>
    <x v="6"/>
    <x v="3"/>
  </r>
  <r>
    <x v="1112"/>
    <x v="4"/>
    <x v="3"/>
    <n v="22.9"/>
    <n v="160.29999999999998"/>
    <x v="43"/>
    <d v="2025-02-14T00:00:00"/>
    <x v="2"/>
    <x v="0"/>
    <x v="0"/>
    <x v="0"/>
    <x v="42"/>
    <x v="3"/>
    <x v="6"/>
    <x v="2"/>
  </r>
  <r>
    <x v="1113"/>
    <x v="8"/>
    <x v="7"/>
    <n v="25.5"/>
    <n v="255"/>
    <x v="43"/>
    <d v="2025-02-20T00:00:00"/>
    <x v="2"/>
    <x v="0"/>
    <x v="0"/>
    <x v="0"/>
    <x v="33"/>
    <x v="6"/>
    <x v="6"/>
    <x v="2"/>
  </r>
  <r>
    <x v="1114"/>
    <x v="17"/>
    <x v="2"/>
    <n v="23.4"/>
    <n v="70.199999999999989"/>
    <x v="43"/>
    <d v="2025-02-17T00:00:00"/>
    <x v="2"/>
    <x v="0"/>
    <x v="2"/>
    <x v="0"/>
    <x v="3"/>
    <x v="5"/>
    <x v="6"/>
    <x v="2"/>
  </r>
  <r>
    <x v="1115"/>
    <x v="5"/>
    <x v="8"/>
    <n v="27.4"/>
    <n v="219.2"/>
    <x v="43"/>
    <d v="2025-02-16T00:00:00"/>
    <x v="2"/>
    <x v="2"/>
    <x v="0"/>
    <x v="0"/>
    <x v="3"/>
    <x v="2"/>
    <x v="6"/>
    <x v="2"/>
  </r>
  <r>
    <x v="1116"/>
    <x v="5"/>
    <x v="9"/>
    <n v="68.400000000000006"/>
    <n v="342"/>
    <x v="43"/>
    <d v="2025-02-14T00:00:00"/>
    <x v="2"/>
    <x v="0"/>
    <x v="0"/>
    <x v="0"/>
    <x v="3"/>
    <x v="3"/>
    <x v="6"/>
    <x v="2"/>
  </r>
  <r>
    <x v="1117"/>
    <x v="6"/>
    <x v="0"/>
    <n v="51.9"/>
    <n v="51.9"/>
    <x v="43"/>
    <d v="2025-02-13T00:00:00"/>
    <x v="2"/>
    <x v="0"/>
    <x v="0"/>
    <x v="0"/>
    <x v="3"/>
    <x v="7"/>
    <x v="6"/>
    <x v="2"/>
  </r>
  <r>
    <x v="1118"/>
    <x v="0"/>
    <x v="9"/>
    <n v="26.4"/>
    <n v="132"/>
    <x v="43"/>
    <d v="2025-02-16T00:00:00"/>
    <x v="2"/>
    <x v="0"/>
    <x v="2"/>
    <x v="0"/>
    <x v="3"/>
    <x v="2"/>
    <x v="6"/>
    <x v="2"/>
  </r>
  <r>
    <x v="1119"/>
    <x v="12"/>
    <x v="1"/>
    <n v="117"/>
    <n v="234"/>
    <x v="43"/>
    <d v="2025-02-14T00:00:00"/>
    <x v="2"/>
    <x v="1"/>
    <x v="1"/>
    <x v="0"/>
    <x v="3"/>
    <x v="3"/>
    <x v="6"/>
    <x v="2"/>
  </r>
  <r>
    <x v="1120"/>
    <x v="7"/>
    <x v="2"/>
    <n v="49.6"/>
    <n v="148.80000000000001"/>
    <x v="44"/>
    <d v="2025-02-16T00:00:00"/>
    <x v="2"/>
    <x v="0"/>
    <x v="0"/>
    <x v="0"/>
    <x v="3"/>
    <x v="1"/>
    <x v="6"/>
    <x v="2"/>
  </r>
  <r>
    <x v="1121"/>
    <x v="4"/>
    <x v="2"/>
    <n v="38"/>
    <n v="114"/>
    <x v="44"/>
    <d v="2025-02-17T00:00:00"/>
    <x v="1"/>
    <x v="2"/>
    <x v="4"/>
    <x v="0"/>
    <x v="3"/>
    <x v="2"/>
    <x v="6"/>
    <x v="1"/>
  </r>
  <r>
    <x v="1122"/>
    <x v="0"/>
    <x v="2"/>
    <n v="20.6"/>
    <n v="61.800000000000004"/>
    <x v="44"/>
    <d v="2025-02-16T00:00:00"/>
    <x v="2"/>
    <x v="4"/>
    <x v="2"/>
    <x v="0"/>
    <x v="3"/>
    <x v="1"/>
    <x v="6"/>
    <x v="2"/>
  </r>
  <r>
    <x v="1123"/>
    <x v="0"/>
    <x v="1"/>
    <n v="16"/>
    <n v="32"/>
    <x v="44"/>
    <d v="2025-02-15T00:00:00"/>
    <x v="1"/>
    <x v="1"/>
    <x v="1"/>
    <x v="0"/>
    <x v="49"/>
    <x v="3"/>
    <x v="6"/>
    <x v="1"/>
  </r>
  <r>
    <x v="1124"/>
    <x v="15"/>
    <x v="12"/>
    <n v="49.3"/>
    <n v="197.2"/>
    <x v="44"/>
    <d v="2025-02-15T00:00:00"/>
    <x v="2"/>
    <x v="2"/>
    <x v="0"/>
    <x v="0"/>
    <x v="23"/>
    <x v="3"/>
    <x v="6"/>
    <x v="2"/>
  </r>
  <r>
    <x v="1125"/>
    <x v="9"/>
    <x v="1"/>
    <n v="24.1"/>
    <n v="48.2"/>
    <x v="44"/>
    <d v="2025-02-18T00:00:00"/>
    <x v="2"/>
    <x v="0"/>
    <x v="0"/>
    <x v="0"/>
    <x v="6"/>
    <x v="5"/>
    <x v="6"/>
    <x v="2"/>
  </r>
  <r>
    <x v="1126"/>
    <x v="15"/>
    <x v="8"/>
    <n v="32.700000000000003"/>
    <n v="261.60000000000002"/>
    <x v="44"/>
    <d v="2025-02-15T00:00:00"/>
    <x v="2"/>
    <x v="1"/>
    <x v="0"/>
    <x v="0"/>
    <x v="6"/>
    <x v="3"/>
    <x v="6"/>
    <x v="2"/>
  </r>
  <r>
    <x v="1127"/>
    <x v="6"/>
    <x v="2"/>
    <n v="74.400000000000006"/>
    <n v="223.20000000000002"/>
    <x v="44"/>
    <d v="2025-02-15T00:00:00"/>
    <x v="2"/>
    <x v="3"/>
    <x v="2"/>
    <x v="0"/>
    <x v="8"/>
    <x v="3"/>
    <x v="6"/>
    <x v="2"/>
  </r>
  <r>
    <x v="1128"/>
    <x v="12"/>
    <x v="0"/>
    <n v="45.6"/>
    <n v="45.6"/>
    <x v="44"/>
    <d v="2025-02-18T00:00:00"/>
    <x v="2"/>
    <x v="4"/>
    <x v="0"/>
    <x v="0"/>
    <x v="8"/>
    <x v="5"/>
    <x v="6"/>
    <x v="2"/>
  </r>
  <r>
    <x v="1129"/>
    <x v="8"/>
    <x v="8"/>
    <n v="19.600000000000001"/>
    <n v="156.80000000000001"/>
    <x v="44"/>
    <d v="2025-02-27T00:00:00"/>
    <x v="2"/>
    <x v="0"/>
    <x v="0"/>
    <x v="0"/>
    <x v="8"/>
    <x v="10"/>
    <x v="6"/>
    <x v="2"/>
  </r>
  <r>
    <x v="1130"/>
    <x v="9"/>
    <x v="0"/>
    <n v="51.8"/>
    <n v="51.8"/>
    <x v="44"/>
    <d v="2025-02-15T00:00:00"/>
    <x v="2"/>
    <x v="1"/>
    <x v="0"/>
    <x v="0"/>
    <x v="8"/>
    <x v="3"/>
    <x v="6"/>
    <x v="2"/>
  </r>
  <r>
    <x v="1131"/>
    <x v="6"/>
    <x v="0"/>
    <n v="74.7"/>
    <n v="74.7"/>
    <x v="44"/>
    <d v="2025-02-15T00:00:00"/>
    <x v="1"/>
    <x v="0"/>
    <x v="1"/>
    <x v="0"/>
    <x v="8"/>
    <x v="3"/>
    <x v="6"/>
    <x v="1"/>
  </r>
  <r>
    <x v="1132"/>
    <x v="19"/>
    <x v="2"/>
    <n v="22.4"/>
    <n v="67.199999999999989"/>
    <x v="44"/>
    <d v="2025-02-15T00:00:00"/>
    <x v="2"/>
    <x v="1"/>
    <x v="2"/>
    <x v="0"/>
    <x v="9"/>
    <x v="3"/>
    <x v="6"/>
    <x v="2"/>
  </r>
  <r>
    <x v="1133"/>
    <x v="1"/>
    <x v="12"/>
    <n v="31.4"/>
    <n v="125.6"/>
    <x v="44"/>
    <d v="2025-02-15T00:00:00"/>
    <x v="2"/>
    <x v="1"/>
    <x v="0"/>
    <x v="0"/>
    <x v="9"/>
    <x v="3"/>
    <x v="6"/>
    <x v="2"/>
  </r>
  <r>
    <x v="1134"/>
    <x v="6"/>
    <x v="0"/>
    <n v="94"/>
    <n v="94"/>
    <x v="44"/>
    <d v="2025-02-14T00:00:00"/>
    <x v="2"/>
    <x v="1"/>
    <x v="2"/>
    <x v="0"/>
    <x v="10"/>
    <x v="7"/>
    <x v="6"/>
    <x v="2"/>
  </r>
  <r>
    <x v="1135"/>
    <x v="10"/>
    <x v="0"/>
    <n v="22.3"/>
    <n v="22.3"/>
    <x v="44"/>
    <d v="2025-02-15T00:00:00"/>
    <x v="1"/>
    <x v="4"/>
    <x v="0"/>
    <x v="0"/>
    <x v="20"/>
    <x v="3"/>
    <x v="6"/>
    <x v="1"/>
  </r>
  <r>
    <x v="1136"/>
    <x v="0"/>
    <x v="0"/>
    <n v="21.9"/>
    <n v="21.9"/>
    <x v="44"/>
    <d v="2025-02-17T00:00:00"/>
    <x v="2"/>
    <x v="2"/>
    <x v="0"/>
    <x v="0"/>
    <x v="21"/>
    <x v="2"/>
    <x v="6"/>
    <x v="2"/>
  </r>
  <r>
    <x v="1137"/>
    <x v="17"/>
    <x v="2"/>
    <n v="27"/>
    <n v="81"/>
    <x v="44"/>
    <d v="2025-02-16T00:00:00"/>
    <x v="2"/>
    <x v="4"/>
    <x v="2"/>
    <x v="0"/>
    <x v="2"/>
    <x v="1"/>
    <x v="6"/>
    <x v="2"/>
  </r>
  <r>
    <x v="1138"/>
    <x v="2"/>
    <x v="12"/>
    <n v="149.6"/>
    <n v="598.4"/>
    <x v="44"/>
    <d v="2025-02-14T00:00:00"/>
    <x v="2"/>
    <x v="4"/>
    <x v="0"/>
    <x v="0"/>
    <x v="22"/>
    <x v="7"/>
    <x v="6"/>
    <x v="2"/>
  </r>
  <r>
    <x v="1139"/>
    <x v="2"/>
    <x v="12"/>
    <n v="129.1"/>
    <n v="516.4"/>
    <x v="44"/>
    <d v="2025-02-24T00:00:00"/>
    <x v="1"/>
    <x v="0"/>
    <x v="1"/>
    <x v="0"/>
    <x v="3"/>
    <x v="14"/>
    <x v="6"/>
    <x v="1"/>
  </r>
  <r>
    <x v="1140"/>
    <x v="1"/>
    <x v="4"/>
    <n v="40.4"/>
    <n v="484.79999999999995"/>
    <x v="44"/>
    <d v="2025-02-15T00:00:00"/>
    <x v="1"/>
    <x v="1"/>
    <x v="1"/>
    <x v="0"/>
    <x v="3"/>
    <x v="3"/>
    <x v="6"/>
    <x v="1"/>
  </r>
  <r>
    <x v="1141"/>
    <x v="4"/>
    <x v="2"/>
    <n v="48.5"/>
    <n v="145.5"/>
    <x v="44"/>
    <d v="2025-02-16T00:00:00"/>
    <x v="2"/>
    <x v="0"/>
    <x v="4"/>
    <x v="0"/>
    <x v="3"/>
    <x v="1"/>
    <x v="6"/>
    <x v="2"/>
  </r>
  <r>
    <x v="1142"/>
    <x v="9"/>
    <x v="1"/>
    <n v="37.6"/>
    <n v="75.2"/>
    <x v="44"/>
    <d v="2025-02-16T00:00:00"/>
    <x v="2"/>
    <x v="1"/>
    <x v="2"/>
    <x v="0"/>
    <x v="3"/>
    <x v="1"/>
    <x v="6"/>
    <x v="2"/>
  </r>
  <r>
    <x v="1143"/>
    <x v="8"/>
    <x v="1"/>
    <n v="19.600000000000001"/>
    <n v="39.200000000000003"/>
    <x v="44"/>
    <d v="2025-02-15T00:00:00"/>
    <x v="1"/>
    <x v="3"/>
    <x v="4"/>
    <x v="0"/>
    <x v="43"/>
    <x v="3"/>
    <x v="6"/>
    <x v="1"/>
  </r>
  <r>
    <x v="1144"/>
    <x v="8"/>
    <x v="9"/>
    <n v="18.5"/>
    <n v="92.5"/>
    <x v="44"/>
    <d v="2025-02-15T00:00:00"/>
    <x v="2"/>
    <x v="2"/>
    <x v="1"/>
    <x v="0"/>
    <x v="6"/>
    <x v="3"/>
    <x v="6"/>
    <x v="2"/>
  </r>
  <r>
    <x v="1145"/>
    <x v="5"/>
    <x v="2"/>
    <n v="25.5"/>
    <n v="76.5"/>
    <x v="44"/>
    <d v="2025-02-16T00:00:00"/>
    <x v="2"/>
    <x v="4"/>
    <x v="1"/>
    <x v="0"/>
    <x v="6"/>
    <x v="1"/>
    <x v="6"/>
    <x v="2"/>
  </r>
  <r>
    <x v="1146"/>
    <x v="2"/>
    <x v="1"/>
    <n v="94.7"/>
    <n v="189.4"/>
    <x v="44"/>
    <d v="2025-02-15T00:00:00"/>
    <x v="2"/>
    <x v="2"/>
    <x v="0"/>
    <x v="0"/>
    <x v="36"/>
    <x v="3"/>
    <x v="6"/>
    <x v="2"/>
  </r>
  <r>
    <x v="1147"/>
    <x v="1"/>
    <x v="13"/>
    <n v="38.799999999999997"/>
    <n v="232.79999999999998"/>
    <x v="44"/>
    <d v="2025-02-19T00:00:00"/>
    <x v="2"/>
    <x v="2"/>
    <x v="2"/>
    <x v="0"/>
    <x v="8"/>
    <x v="0"/>
    <x v="6"/>
    <x v="2"/>
  </r>
  <r>
    <x v="1148"/>
    <x v="9"/>
    <x v="1"/>
    <n v="49.4"/>
    <n v="98.8"/>
    <x v="45"/>
    <d v="2025-02-23T00:00:00"/>
    <x v="1"/>
    <x v="4"/>
    <x v="1"/>
    <x v="0"/>
    <x v="8"/>
    <x v="9"/>
    <x v="6"/>
    <x v="1"/>
  </r>
  <r>
    <x v="1149"/>
    <x v="7"/>
    <x v="2"/>
    <n v="68"/>
    <n v="204"/>
    <x v="45"/>
    <d v="2025-02-18T00:00:00"/>
    <x v="1"/>
    <x v="0"/>
    <x v="2"/>
    <x v="0"/>
    <x v="8"/>
    <x v="2"/>
    <x v="6"/>
    <x v="1"/>
  </r>
  <r>
    <x v="1150"/>
    <x v="15"/>
    <x v="3"/>
    <n v="63.7"/>
    <n v="445.90000000000003"/>
    <x v="45"/>
    <d v="2025-02-16T00:00:00"/>
    <x v="2"/>
    <x v="2"/>
    <x v="2"/>
    <x v="0"/>
    <x v="8"/>
    <x v="3"/>
    <x v="6"/>
    <x v="2"/>
  </r>
  <r>
    <x v="1151"/>
    <x v="10"/>
    <x v="1"/>
    <n v="66.2"/>
    <n v="132.4"/>
    <x v="45"/>
    <d v="2025-02-16T00:00:00"/>
    <x v="2"/>
    <x v="4"/>
    <x v="2"/>
    <x v="0"/>
    <x v="17"/>
    <x v="3"/>
    <x v="6"/>
    <x v="2"/>
  </r>
  <r>
    <x v="1152"/>
    <x v="12"/>
    <x v="2"/>
    <n v="32.299999999999997"/>
    <n v="96.899999999999991"/>
    <x v="45"/>
    <d v="2025-02-16T00:00:00"/>
    <x v="3"/>
    <x v="2"/>
    <x v="1"/>
    <x v="0"/>
    <x v="9"/>
    <x v="3"/>
    <x v="6"/>
    <x v="3"/>
  </r>
  <r>
    <x v="1153"/>
    <x v="4"/>
    <x v="1"/>
    <n v="66.900000000000006"/>
    <n v="133.80000000000001"/>
    <x v="45"/>
    <d v="2025-02-18T00:00:00"/>
    <x v="1"/>
    <x v="1"/>
    <x v="0"/>
    <x v="0"/>
    <x v="11"/>
    <x v="2"/>
    <x v="6"/>
    <x v="1"/>
  </r>
  <r>
    <x v="1154"/>
    <x v="4"/>
    <x v="4"/>
    <n v="25.2"/>
    <n v="302.39999999999998"/>
    <x v="45"/>
    <d v="2025-02-19T00:00:00"/>
    <x v="2"/>
    <x v="0"/>
    <x v="1"/>
    <x v="0"/>
    <x v="11"/>
    <x v="5"/>
    <x v="6"/>
    <x v="2"/>
  </r>
  <r>
    <x v="1155"/>
    <x v="10"/>
    <x v="13"/>
    <n v="29.5"/>
    <n v="177"/>
    <x v="45"/>
    <d v="2025-02-16T00:00:00"/>
    <x v="1"/>
    <x v="2"/>
    <x v="0"/>
    <x v="0"/>
    <x v="11"/>
    <x v="3"/>
    <x v="6"/>
    <x v="1"/>
  </r>
  <r>
    <x v="1156"/>
    <x v="8"/>
    <x v="9"/>
    <n v="21.6"/>
    <n v="108"/>
    <x v="45"/>
    <d v="2025-02-17T00:00:00"/>
    <x v="2"/>
    <x v="0"/>
    <x v="2"/>
    <x v="0"/>
    <x v="32"/>
    <x v="1"/>
    <x v="6"/>
    <x v="2"/>
  </r>
  <r>
    <x v="1157"/>
    <x v="12"/>
    <x v="2"/>
    <n v="69"/>
    <n v="207"/>
    <x v="45"/>
    <d v="2025-02-16T00:00:00"/>
    <x v="2"/>
    <x v="0"/>
    <x v="0"/>
    <x v="0"/>
    <x v="18"/>
    <x v="3"/>
    <x v="6"/>
    <x v="2"/>
  </r>
  <r>
    <x v="1158"/>
    <x v="7"/>
    <x v="1"/>
    <n v="115"/>
    <n v="230"/>
    <x v="45"/>
    <d v="2025-02-19T00:00:00"/>
    <x v="1"/>
    <x v="0"/>
    <x v="2"/>
    <x v="0"/>
    <x v="18"/>
    <x v="5"/>
    <x v="6"/>
    <x v="1"/>
  </r>
  <r>
    <x v="1159"/>
    <x v="2"/>
    <x v="1"/>
    <n v="109.3"/>
    <n v="218.6"/>
    <x v="45"/>
    <d v="2025-02-17T00:00:00"/>
    <x v="0"/>
    <x v="3"/>
    <x v="1"/>
    <x v="0"/>
    <x v="19"/>
    <x v="1"/>
    <x v="6"/>
    <x v="0"/>
  </r>
  <r>
    <x v="1160"/>
    <x v="9"/>
    <x v="1"/>
    <n v="66.599999999999994"/>
    <n v="133.19999999999999"/>
    <x v="45"/>
    <d v="2025-02-18T00:00:00"/>
    <x v="0"/>
    <x v="4"/>
    <x v="1"/>
    <x v="0"/>
    <x v="19"/>
    <x v="2"/>
    <x v="6"/>
    <x v="0"/>
  </r>
  <r>
    <x v="1161"/>
    <x v="12"/>
    <x v="9"/>
    <n v="47.7"/>
    <n v="238.5"/>
    <x v="45"/>
    <d v="2025-02-16T00:00:00"/>
    <x v="1"/>
    <x v="3"/>
    <x v="2"/>
    <x v="0"/>
    <x v="21"/>
    <x v="3"/>
    <x v="6"/>
    <x v="1"/>
  </r>
  <r>
    <x v="1162"/>
    <x v="8"/>
    <x v="1"/>
    <n v="46"/>
    <n v="92"/>
    <x v="45"/>
    <d v="2025-02-16T00:00:00"/>
    <x v="2"/>
    <x v="4"/>
    <x v="4"/>
    <x v="0"/>
    <x v="22"/>
    <x v="3"/>
    <x v="6"/>
    <x v="2"/>
  </r>
  <r>
    <x v="1163"/>
    <x v="1"/>
    <x v="13"/>
    <n v="39.299999999999997"/>
    <n v="235.79999999999998"/>
    <x v="45"/>
    <d v="2025-02-17T00:00:00"/>
    <x v="1"/>
    <x v="3"/>
    <x v="2"/>
    <x v="0"/>
    <x v="3"/>
    <x v="1"/>
    <x v="6"/>
    <x v="1"/>
  </r>
  <r>
    <x v="1164"/>
    <x v="9"/>
    <x v="0"/>
    <n v="70.2"/>
    <n v="70.2"/>
    <x v="45"/>
    <d v="2025-02-16T00:00:00"/>
    <x v="2"/>
    <x v="0"/>
    <x v="4"/>
    <x v="0"/>
    <x v="3"/>
    <x v="3"/>
    <x v="6"/>
    <x v="2"/>
  </r>
  <r>
    <x v="1165"/>
    <x v="3"/>
    <x v="12"/>
    <n v="71.5"/>
    <n v="286"/>
    <x v="45"/>
    <d v="2025-02-15T00:00:00"/>
    <x v="2"/>
    <x v="1"/>
    <x v="2"/>
    <x v="0"/>
    <x v="3"/>
    <x v="7"/>
    <x v="6"/>
    <x v="2"/>
  </r>
  <r>
    <x v="1166"/>
    <x v="10"/>
    <x v="3"/>
    <n v="31"/>
    <n v="217"/>
    <x v="45"/>
    <d v="2025-02-22T00:00:00"/>
    <x v="2"/>
    <x v="3"/>
    <x v="2"/>
    <x v="0"/>
    <x v="3"/>
    <x v="6"/>
    <x v="6"/>
    <x v="2"/>
  </r>
  <r>
    <x v="1167"/>
    <x v="2"/>
    <x v="9"/>
    <n v="68.2"/>
    <n v="341"/>
    <x v="45"/>
    <d v="2025-02-20T00:00:00"/>
    <x v="2"/>
    <x v="0"/>
    <x v="2"/>
    <x v="0"/>
    <x v="3"/>
    <x v="0"/>
    <x v="6"/>
    <x v="2"/>
  </r>
  <r>
    <x v="1168"/>
    <x v="2"/>
    <x v="0"/>
    <n v="91.4"/>
    <n v="91.4"/>
    <x v="45"/>
    <d v="2025-02-19T00:00:00"/>
    <x v="2"/>
    <x v="1"/>
    <x v="2"/>
    <x v="0"/>
    <x v="6"/>
    <x v="5"/>
    <x v="6"/>
    <x v="2"/>
  </r>
  <r>
    <x v="1169"/>
    <x v="6"/>
    <x v="7"/>
    <n v="112.9"/>
    <n v="1129"/>
    <x v="45"/>
    <d v="2025-02-16T00:00:00"/>
    <x v="2"/>
    <x v="0"/>
    <x v="0"/>
    <x v="0"/>
    <x v="6"/>
    <x v="3"/>
    <x v="6"/>
    <x v="2"/>
  </r>
  <r>
    <x v="1170"/>
    <x v="17"/>
    <x v="11"/>
    <n v="33.700000000000003"/>
    <n v="303.3"/>
    <x v="45"/>
    <d v="2025-02-16T00:00:00"/>
    <x v="2"/>
    <x v="1"/>
    <x v="2"/>
    <x v="0"/>
    <x v="8"/>
    <x v="3"/>
    <x v="6"/>
    <x v="2"/>
  </r>
  <r>
    <x v="1171"/>
    <x v="15"/>
    <x v="7"/>
    <n v="35.299999999999997"/>
    <n v="353"/>
    <x v="45"/>
    <d v="2025-02-17T00:00:00"/>
    <x v="1"/>
    <x v="2"/>
    <x v="0"/>
    <x v="0"/>
    <x v="8"/>
    <x v="1"/>
    <x v="6"/>
    <x v="1"/>
  </r>
  <r>
    <x v="1172"/>
    <x v="18"/>
    <x v="2"/>
    <n v="45.6"/>
    <n v="136.80000000000001"/>
    <x v="45"/>
    <d v="2025-02-19T00:00:00"/>
    <x v="1"/>
    <x v="3"/>
    <x v="0"/>
    <x v="0"/>
    <x v="8"/>
    <x v="5"/>
    <x v="6"/>
    <x v="1"/>
  </r>
  <r>
    <x v="1173"/>
    <x v="7"/>
    <x v="3"/>
    <n v="47.1"/>
    <n v="329.7"/>
    <x v="45"/>
    <d v="2025-02-16T00:00:00"/>
    <x v="2"/>
    <x v="4"/>
    <x v="2"/>
    <x v="0"/>
    <x v="9"/>
    <x v="3"/>
    <x v="6"/>
    <x v="2"/>
  </r>
  <r>
    <x v="1174"/>
    <x v="8"/>
    <x v="9"/>
    <n v="16.2"/>
    <n v="81"/>
    <x v="45"/>
    <d v="2025-02-17T00:00:00"/>
    <x v="2"/>
    <x v="3"/>
    <x v="2"/>
    <x v="0"/>
    <x v="19"/>
    <x v="1"/>
    <x v="6"/>
    <x v="2"/>
  </r>
  <r>
    <x v="1175"/>
    <x v="1"/>
    <x v="1"/>
    <n v="159.69999999999999"/>
    <n v="319.39999999999998"/>
    <x v="46"/>
    <d v="2025-02-17T00:00:00"/>
    <x v="1"/>
    <x v="4"/>
    <x v="0"/>
    <x v="0"/>
    <x v="13"/>
    <x v="3"/>
    <x v="7"/>
    <x v="1"/>
  </r>
  <r>
    <x v="1176"/>
    <x v="8"/>
    <x v="12"/>
    <n v="19"/>
    <n v="76"/>
    <x v="46"/>
    <d v="2025-02-23T00:00:00"/>
    <x v="2"/>
    <x v="2"/>
    <x v="2"/>
    <x v="0"/>
    <x v="21"/>
    <x v="6"/>
    <x v="7"/>
    <x v="2"/>
  </r>
  <r>
    <x v="1177"/>
    <x v="6"/>
    <x v="13"/>
    <n v="91.1"/>
    <n v="546.59999999999991"/>
    <x v="46"/>
    <d v="2025-02-25T00:00:00"/>
    <x v="2"/>
    <x v="4"/>
    <x v="0"/>
    <x v="0"/>
    <x v="21"/>
    <x v="8"/>
    <x v="7"/>
    <x v="2"/>
  </r>
  <r>
    <x v="1178"/>
    <x v="2"/>
    <x v="9"/>
    <n v="94.1"/>
    <n v="470.5"/>
    <x v="46"/>
    <d v="2025-02-19T00:00:00"/>
    <x v="0"/>
    <x v="1"/>
    <x v="1"/>
    <x v="0"/>
    <x v="21"/>
    <x v="2"/>
    <x v="7"/>
    <x v="0"/>
  </r>
  <r>
    <x v="1179"/>
    <x v="9"/>
    <x v="11"/>
    <n v="21.1"/>
    <n v="189.9"/>
    <x v="46"/>
    <d v="2025-02-17T00:00:00"/>
    <x v="2"/>
    <x v="4"/>
    <x v="2"/>
    <x v="0"/>
    <x v="51"/>
    <x v="3"/>
    <x v="7"/>
    <x v="2"/>
  </r>
  <r>
    <x v="1180"/>
    <x v="8"/>
    <x v="3"/>
    <n v="15.3"/>
    <n v="107.10000000000001"/>
    <x v="46"/>
    <d v="2025-02-24T00:00:00"/>
    <x v="2"/>
    <x v="2"/>
    <x v="0"/>
    <x v="0"/>
    <x v="1"/>
    <x v="9"/>
    <x v="7"/>
    <x v="2"/>
  </r>
  <r>
    <x v="1181"/>
    <x v="15"/>
    <x v="12"/>
    <n v="21.3"/>
    <n v="85.2"/>
    <x v="46"/>
    <d v="2025-02-19T00:00:00"/>
    <x v="1"/>
    <x v="1"/>
    <x v="0"/>
    <x v="0"/>
    <x v="3"/>
    <x v="2"/>
    <x v="7"/>
    <x v="1"/>
  </r>
  <r>
    <x v="1182"/>
    <x v="0"/>
    <x v="1"/>
    <n v="23.2"/>
    <n v="46.4"/>
    <x v="46"/>
    <d v="2025-02-16T00:00:00"/>
    <x v="0"/>
    <x v="3"/>
    <x v="1"/>
    <x v="0"/>
    <x v="3"/>
    <x v="7"/>
    <x v="7"/>
    <x v="0"/>
  </r>
  <r>
    <x v="1183"/>
    <x v="4"/>
    <x v="2"/>
    <n v="25.7"/>
    <n v="77.099999999999994"/>
    <x v="46"/>
    <d v="2025-02-17T00:00:00"/>
    <x v="1"/>
    <x v="4"/>
    <x v="0"/>
    <x v="0"/>
    <x v="3"/>
    <x v="3"/>
    <x v="7"/>
    <x v="1"/>
  </r>
  <r>
    <x v="1184"/>
    <x v="0"/>
    <x v="11"/>
    <n v="31.6"/>
    <n v="284.40000000000003"/>
    <x v="46"/>
    <d v="2025-02-18T00:00:00"/>
    <x v="2"/>
    <x v="0"/>
    <x v="0"/>
    <x v="0"/>
    <x v="3"/>
    <x v="1"/>
    <x v="7"/>
    <x v="2"/>
  </r>
  <r>
    <x v="1185"/>
    <x v="6"/>
    <x v="0"/>
    <n v="64.2"/>
    <n v="64.2"/>
    <x v="46"/>
    <d v="2025-02-21T00:00:00"/>
    <x v="1"/>
    <x v="0"/>
    <x v="0"/>
    <x v="0"/>
    <x v="3"/>
    <x v="0"/>
    <x v="7"/>
    <x v="1"/>
  </r>
  <r>
    <x v="1186"/>
    <x v="8"/>
    <x v="1"/>
    <n v="55.8"/>
    <n v="111.6"/>
    <x v="46"/>
    <d v="2025-02-18T00:00:00"/>
    <x v="0"/>
    <x v="0"/>
    <x v="0"/>
    <x v="0"/>
    <x v="3"/>
    <x v="1"/>
    <x v="7"/>
    <x v="0"/>
  </r>
  <r>
    <x v="1187"/>
    <x v="8"/>
    <x v="1"/>
    <n v="28.1"/>
    <n v="56.2"/>
    <x v="46"/>
    <d v="2025-02-17T00:00:00"/>
    <x v="2"/>
    <x v="4"/>
    <x v="1"/>
    <x v="0"/>
    <x v="3"/>
    <x v="3"/>
    <x v="7"/>
    <x v="2"/>
  </r>
  <r>
    <x v="1188"/>
    <x v="0"/>
    <x v="1"/>
    <n v="11.6"/>
    <n v="23.2"/>
    <x v="46"/>
    <d v="2025-02-18T00:00:00"/>
    <x v="2"/>
    <x v="1"/>
    <x v="0"/>
    <x v="0"/>
    <x v="24"/>
    <x v="1"/>
    <x v="7"/>
    <x v="2"/>
  </r>
  <r>
    <x v="1189"/>
    <x v="5"/>
    <x v="2"/>
    <n v="50.4"/>
    <n v="151.19999999999999"/>
    <x v="46"/>
    <d v="2025-02-17T00:00:00"/>
    <x v="1"/>
    <x v="4"/>
    <x v="2"/>
    <x v="0"/>
    <x v="25"/>
    <x v="3"/>
    <x v="7"/>
    <x v="1"/>
  </r>
  <r>
    <x v="1190"/>
    <x v="6"/>
    <x v="13"/>
    <n v="48.3"/>
    <n v="289.79999999999995"/>
    <x v="46"/>
    <d v="2025-02-20T00:00:00"/>
    <x v="2"/>
    <x v="0"/>
    <x v="0"/>
    <x v="0"/>
    <x v="25"/>
    <x v="5"/>
    <x v="7"/>
    <x v="2"/>
  </r>
  <r>
    <x v="1191"/>
    <x v="17"/>
    <x v="3"/>
    <n v="32.200000000000003"/>
    <n v="225.40000000000003"/>
    <x v="46"/>
    <d v="2025-02-18T00:00:00"/>
    <x v="2"/>
    <x v="2"/>
    <x v="0"/>
    <x v="0"/>
    <x v="25"/>
    <x v="1"/>
    <x v="7"/>
    <x v="2"/>
  </r>
  <r>
    <x v="1192"/>
    <x v="7"/>
    <x v="31"/>
    <n v="48.5"/>
    <n v="1358"/>
    <x v="46"/>
    <d v="2025-02-17T00:00:00"/>
    <x v="1"/>
    <x v="0"/>
    <x v="0"/>
    <x v="0"/>
    <x v="5"/>
    <x v="3"/>
    <x v="7"/>
    <x v="1"/>
  </r>
  <r>
    <x v="1193"/>
    <x v="2"/>
    <x v="9"/>
    <n v="62"/>
    <n v="310"/>
    <x v="46"/>
    <d v="2025-02-19T00:00:00"/>
    <x v="2"/>
    <x v="1"/>
    <x v="0"/>
    <x v="0"/>
    <x v="6"/>
    <x v="2"/>
    <x v="7"/>
    <x v="2"/>
  </r>
  <r>
    <x v="1194"/>
    <x v="8"/>
    <x v="2"/>
    <n v="32.1"/>
    <n v="96.300000000000011"/>
    <x v="47"/>
    <d v="2025-02-19T00:00:00"/>
    <x v="1"/>
    <x v="0"/>
    <x v="0"/>
    <x v="0"/>
    <x v="6"/>
    <x v="1"/>
    <x v="7"/>
    <x v="1"/>
  </r>
  <r>
    <x v="1195"/>
    <x v="12"/>
    <x v="2"/>
    <n v="106.1"/>
    <n v="318.29999999999995"/>
    <x v="47"/>
    <d v="2025-02-19T00:00:00"/>
    <x v="1"/>
    <x v="0"/>
    <x v="1"/>
    <x v="0"/>
    <x v="7"/>
    <x v="1"/>
    <x v="7"/>
    <x v="1"/>
  </r>
  <r>
    <x v="1196"/>
    <x v="10"/>
    <x v="2"/>
    <n v="23.5"/>
    <n v="70.5"/>
    <x v="47"/>
    <d v="2025-02-20T00:00:00"/>
    <x v="1"/>
    <x v="0"/>
    <x v="4"/>
    <x v="0"/>
    <x v="7"/>
    <x v="2"/>
    <x v="7"/>
    <x v="1"/>
  </r>
  <r>
    <x v="1197"/>
    <x v="1"/>
    <x v="1"/>
    <n v="35.6"/>
    <n v="71.2"/>
    <x v="47"/>
    <d v="2025-02-22T00:00:00"/>
    <x v="1"/>
    <x v="4"/>
    <x v="0"/>
    <x v="0"/>
    <x v="8"/>
    <x v="0"/>
    <x v="7"/>
    <x v="1"/>
  </r>
  <r>
    <x v="1198"/>
    <x v="1"/>
    <x v="1"/>
    <n v="63.5"/>
    <n v="127"/>
    <x v="47"/>
    <d v="2025-02-17T00:00:00"/>
    <x v="2"/>
    <x v="1"/>
    <x v="2"/>
    <x v="0"/>
    <x v="8"/>
    <x v="7"/>
    <x v="7"/>
    <x v="2"/>
  </r>
  <r>
    <x v="1199"/>
    <x v="6"/>
    <x v="3"/>
    <n v="82.9"/>
    <n v="580.30000000000007"/>
    <x v="47"/>
    <d v="2025-02-22T00:00:00"/>
    <x v="2"/>
    <x v="4"/>
    <x v="0"/>
    <x v="0"/>
    <x v="9"/>
    <x v="0"/>
    <x v="7"/>
    <x v="2"/>
  </r>
  <r>
    <x v="1200"/>
    <x v="6"/>
    <x v="1"/>
    <n v="83.6"/>
    <n v="167.2"/>
    <x v="47"/>
    <d v="2025-02-22T00:00:00"/>
    <x v="2"/>
    <x v="0"/>
    <x v="0"/>
    <x v="0"/>
    <x v="11"/>
    <x v="0"/>
    <x v="7"/>
    <x v="2"/>
  </r>
  <r>
    <x v="1201"/>
    <x v="4"/>
    <x v="1"/>
    <n v="29.4"/>
    <n v="58.8"/>
    <x v="47"/>
    <d v="2025-02-17T00:00:00"/>
    <x v="2"/>
    <x v="0"/>
    <x v="1"/>
    <x v="0"/>
    <x v="30"/>
    <x v="7"/>
    <x v="7"/>
    <x v="2"/>
  </r>
  <r>
    <x v="1202"/>
    <x v="2"/>
    <x v="2"/>
    <n v="107.1"/>
    <n v="321.29999999999995"/>
    <x v="47"/>
    <d v="2025-02-21T00:00:00"/>
    <x v="2"/>
    <x v="2"/>
    <x v="0"/>
    <x v="0"/>
    <x v="20"/>
    <x v="5"/>
    <x v="7"/>
    <x v="2"/>
  </r>
  <r>
    <x v="1203"/>
    <x v="2"/>
    <x v="0"/>
    <n v="62.7"/>
    <n v="62.7"/>
    <x v="47"/>
    <d v="2025-02-21T00:00:00"/>
    <x v="1"/>
    <x v="1"/>
    <x v="0"/>
    <x v="0"/>
    <x v="21"/>
    <x v="5"/>
    <x v="7"/>
    <x v="1"/>
  </r>
  <r>
    <x v="1204"/>
    <x v="11"/>
    <x v="0"/>
    <n v="41.6"/>
    <n v="41.6"/>
    <x v="47"/>
    <d v="2025-02-18T00:00:00"/>
    <x v="1"/>
    <x v="0"/>
    <x v="1"/>
    <x v="0"/>
    <x v="1"/>
    <x v="3"/>
    <x v="7"/>
    <x v="1"/>
  </r>
  <r>
    <x v="1205"/>
    <x v="6"/>
    <x v="0"/>
    <n v="44.2"/>
    <n v="44.2"/>
    <x v="47"/>
    <d v="2025-02-18T00:00:00"/>
    <x v="3"/>
    <x v="0"/>
    <x v="1"/>
    <x v="0"/>
    <x v="1"/>
    <x v="3"/>
    <x v="7"/>
    <x v="3"/>
  </r>
  <r>
    <x v="1206"/>
    <x v="4"/>
    <x v="13"/>
    <n v="40.4"/>
    <n v="242.39999999999998"/>
    <x v="47"/>
    <d v="2025-03-02T00:00:00"/>
    <x v="2"/>
    <x v="2"/>
    <x v="0"/>
    <x v="0"/>
    <x v="22"/>
    <x v="10"/>
    <x v="7"/>
    <x v="2"/>
  </r>
  <r>
    <x v="1207"/>
    <x v="15"/>
    <x v="13"/>
    <n v="59.6"/>
    <n v="357.6"/>
    <x v="47"/>
    <d v="2025-02-18T00:00:00"/>
    <x v="2"/>
    <x v="4"/>
    <x v="0"/>
    <x v="0"/>
    <x v="34"/>
    <x v="3"/>
    <x v="7"/>
    <x v="2"/>
  </r>
  <r>
    <x v="1208"/>
    <x v="17"/>
    <x v="4"/>
    <n v="63.8"/>
    <n v="765.59999999999991"/>
    <x v="47"/>
    <d v="2025-02-18T00:00:00"/>
    <x v="1"/>
    <x v="1"/>
    <x v="0"/>
    <x v="0"/>
    <x v="3"/>
    <x v="3"/>
    <x v="7"/>
    <x v="1"/>
  </r>
  <r>
    <x v="1209"/>
    <x v="9"/>
    <x v="13"/>
    <n v="30.8"/>
    <n v="184.8"/>
    <x v="47"/>
    <d v="2025-02-19T00:00:00"/>
    <x v="1"/>
    <x v="4"/>
    <x v="0"/>
    <x v="0"/>
    <x v="3"/>
    <x v="1"/>
    <x v="7"/>
    <x v="1"/>
  </r>
  <r>
    <x v="1210"/>
    <x v="1"/>
    <x v="1"/>
    <n v="41.5"/>
    <n v="83"/>
    <x v="47"/>
    <d v="2025-02-20T00:00:00"/>
    <x v="3"/>
    <x v="0"/>
    <x v="0"/>
    <x v="0"/>
    <x v="3"/>
    <x v="2"/>
    <x v="7"/>
    <x v="3"/>
  </r>
  <r>
    <x v="1211"/>
    <x v="10"/>
    <x v="12"/>
    <n v="44.7"/>
    <n v="178.8"/>
    <x v="47"/>
    <d v="2025-02-19T00:00:00"/>
    <x v="2"/>
    <x v="2"/>
    <x v="1"/>
    <x v="0"/>
    <x v="3"/>
    <x v="1"/>
    <x v="7"/>
    <x v="2"/>
  </r>
  <r>
    <x v="1212"/>
    <x v="12"/>
    <x v="1"/>
    <n v="64.099999999999994"/>
    <n v="128.19999999999999"/>
    <x v="47"/>
    <d v="2025-02-21T00:00:00"/>
    <x v="2"/>
    <x v="1"/>
    <x v="4"/>
    <x v="0"/>
    <x v="3"/>
    <x v="5"/>
    <x v="7"/>
    <x v="2"/>
  </r>
  <r>
    <x v="1213"/>
    <x v="8"/>
    <x v="0"/>
    <n v="15.9"/>
    <n v="15.9"/>
    <x v="47"/>
    <d v="2025-02-20T00:00:00"/>
    <x v="0"/>
    <x v="1"/>
    <x v="0"/>
    <x v="0"/>
    <x v="3"/>
    <x v="2"/>
    <x v="7"/>
    <x v="0"/>
  </r>
  <r>
    <x v="1214"/>
    <x v="6"/>
    <x v="1"/>
    <n v="78.7"/>
    <n v="157.4"/>
    <x v="47"/>
    <d v="2025-02-17T00:00:00"/>
    <x v="2"/>
    <x v="2"/>
    <x v="1"/>
    <x v="0"/>
    <x v="3"/>
    <x v="7"/>
    <x v="7"/>
    <x v="2"/>
  </r>
  <r>
    <x v="1215"/>
    <x v="5"/>
    <x v="4"/>
    <n v="29.6"/>
    <n v="355.20000000000005"/>
    <x v="47"/>
    <d v="2025-02-21T00:00:00"/>
    <x v="1"/>
    <x v="2"/>
    <x v="4"/>
    <x v="0"/>
    <x v="3"/>
    <x v="5"/>
    <x v="7"/>
    <x v="1"/>
  </r>
  <r>
    <x v="1216"/>
    <x v="8"/>
    <x v="12"/>
    <n v="21.5"/>
    <n v="86"/>
    <x v="47"/>
    <d v="2025-02-20T00:00:00"/>
    <x v="1"/>
    <x v="1"/>
    <x v="0"/>
    <x v="0"/>
    <x v="3"/>
    <x v="2"/>
    <x v="7"/>
    <x v="1"/>
  </r>
  <r>
    <x v="1217"/>
    <x v="9"/>
    <x v="2"/>
    <n v="74.900000000000006"/>
    <n v="224.70000000000002"/>
    <x v="47"/>
    <d v="2025-02-26T00:00:00"/>
    <x v="1"/>
    <x v="3"/>
    <x v="1"/>
    <x v="0"/>
    <x v="3"/>
    <x v="8"/>
    <x v="7"/>
    <x v="1"/>
  </r>
  <r>
    <x v="1218"/>
    <x v="10"/>
    <x v="13"/>
    <n v="45"/>
    <n v="270"/>
    <x v="47"/>
    <d v="2025-02-22T00:00:00"/>
    <x v="2"/>
    <x v="2"/>
    <x v="0"/>
    <x v="0"/>
    <x v="3"/>
    <x v="0"/>
    <x v="7"/>
    <x v="2"/>
  </r>
  <r>
    <x v="1219"/>
    <x v="7"/>
    <x v="33"/>
    <n v="37.9"/>
    <n v="1288.5999999999999"/>
    <x v="47"/>
    <d v="2025-02-18T00:00:00"/>
    <x v="1"/>
    <x v="0"/>
    <x v="0"/>
    <x v="0"/>
    <x v="3"/>
    <x v="3"/>
    <x v="7"/>
    <x v="1"/>
  </r>
  <r>
    <x v="1220"/>
    <x v="6"/>
    <x v="2"/>
    <n v="56.6"/>
    <n v="169.8"/>
    <x v="47"/>
    <d v="2025-02-18T00:00:00"/>
    <x v="1"/>
    <x v="3"/>
    <x v="0"/>
    <x v="0"/>
    <x v="3"/>
    <x v="3"/>
    <x v="7"/>
    <x v="1"/>
  </r>
  <r>
    <x v="1221"/>
    <x v="3"/>
    <x v="15"/>
    <n v="84.5"/>
    <n v="1098.5"/>
    <x v="47"/>
    <d v="2025-02-20T00:00:00"/>
    <x v="2"/>
    <x v="1"/>
    <x v="4"/>
    <x v="0"/>
    <x v="3"/>
    <x v="2"/>
    <x v="7"/>
    <x v="2"/>
  </r>
  <r>
    <x v="1222"/>
    <x v="2"/>
    <x v="9"/>
    <n v="105.4"/>
    <n v="527"/>
    <x v="47"/>
    <d v="2025-02-19T00:00:00"/>
    <x v="2"/>
    <x v="1"/>
    <x v="1"/>
    <x v="0"/>
    <x v="3"/>
    <x v="1"/>
    <x v="7"/>
    <x v="2"/>
  </r>
  <r>
    <x v="1223"/>
    <x v="18"/>
    <x v="3"/>
    <n v="39.4"/>
    <n v="275.8"/>
    <x v="48"/>
    <d v="2025-02-18T00:00:00"/>
    <x v="1"/>
    <x v="1"/>
    <x v="0"/>
    <x v="0"/>
    <x v="37"/>
    <x v="7"/>
    <x v="7"/>
    <x v="1"/>
  </r>
  <r>
    <x v="1224"/>
    <x v="19"/>
    <x v="2"/>
    <n v="38"/>
    <n v="114"/>
    <x v="48"/>
    <d v="2025-02-21T00:00:00"/>
    <x v="1"/>
    <x v="4"/>
    <x v="1"/>
    <x v="0"/>
    <x v="6"/>
    <x v="2"/>
    <x v="7"/>
    <x v="1"/>
  </r>
  <r>
    <x v="1225"/>
    <x v="17"/>
    <x v="12"/>
    <n v="42.5"/>
    <n v="170"/>
    <x v="48"/>
    <d v="2025-02-20T00:00:00"/>
    <x v="0"/>
    <x v="0"/>
    <x v="0"/>
    <x v="0"/>
    <x v="6"/>
    <x v="1"/>
    <x v="7"/>
    <x v="0"/>
  </r>
  <r>
    <x v="1226"/>
    <x v="15"/>
    <x v="0"/>
    <n v="62.3"/>
    <n v="62.3"/>
    <x v="48"/>
    <d v="2025-02-27T00:00:00"/>
    <x v="1"/>
    <x v="0"/>
    <x v="2"/>
    <x v="0"/>
    <x v="6"/>
    <x v="8"/>
    <x v="7"/>
    <x v="1"/>
  </r>
  <r>
    <x v="1227"/>
    <x v="6"/>
    <x v="9"/>
    <n v="49.1"/>
    <n v="245.5"/>
    <x v="48"/>
    <d v="2025-02-20T00:00:00"/>
    <x v="2"/>
    <x v="1"/>
    <x v="2"/>
    <x v="0"/>
    <x v="7"/>
    <x v="1"/>
    <x v="7"/>
    <x v="2"/>
  </r>
  <r>
    <x v="1228"/>
    <x v="3"/>
    <x v="1"/>
    <n v="30.5"/>
    <n v="61"/>
    <x v="48"/>
    <d v="2025-02-21T00:00:00"/>
    <x v="1"/>
    <x v="0"/>
    <x v="2"/>
    <x v="0"/>
    <x v="8"/>
    <x v="2"/>
    <x v="7"/>
    <x v="1"/>
  </r>
  <r>
    <x v="1229"/>
    <x v="2"/>
    <x v="1"/>
    <n v="154.80000000000001"/>
    <n v="309.60000000000002"/>
    <x v="48"/>
    <d v="2025-02-21T00:00:00"/>
    <x v="2"/>
    <x v="1"/>
    <x v="4"/>
    <x v="0"/>
    <x v="8"/>
    <x v="2"/>
    <x v="7"/>
    <x v="2"/>
  </r>
  <r>
    <x v="1230"/>
    <x v="6"/>
    <x v="0"/>
    <n v="45"/>
    <n v="45"/>
    <x v="48"/>
    <d v="2025-02-22T00:00:00"/>
    <x v="1"/>
    <x v="3"/>
    <x v="1"/>
    <x v="0"/>
    <x v="8"/>
    <x v="5"/>
    <x v="7"/>
    <x v="1"/>
  </r>
  <r>
    <x v="1231"/>
    <x v="0"/>
    <x v="3"/>
    <n v="15.3"/>
    <n v="107.10000000000001"/>
    <x v="48"/>
    <d v="2025-02-19T00:00:00"/>
    <x v="1"/>
    <x v="0"/>
    <x v="2"/>
    <x v="0"/>
    <x v="8"/>
    <x v="3"/>
    <x v="7"/>
    <x v="1"/>
  </r>
  <r>
    <x v="1232"/>
    <x v="2"/>
    <x v="5"/>
    <n v="88.6"/>
    <n v="974.59999999999991"/>
    <x v="48"/>
    <d v="2025-02-21T00:00:00"/>
    <x v="2"/>
    <x v="0"/>
    <x v="4"/>
    <x v="0"/>
    <x v="17"/>
    <x v="2"/>
    <x v="7"/>
    <x v="2"/>
  </r>
  <r>
    <x v="1233"/>
    <x v="9"/>
    <x v="1"/>
    <n v="49.7"/>
    <n v="99.4"/>
    <x v="48"/>
    <d v="2025-02-20T00:00:00"/>
    <x v="3"/>
    <x v="4"/>
    <x v="0"/>
    <x v="0"/>
    <x v="10"/>
    <x v="1"/>
    <x v="7"/>
    <x v="3"/>
  </r>
  <r>
    <x v="1234"/>
    <x v="10"/>
    <x v="0"/>
    <n v="29"/>
    <n v="29"/>
    <x v="48"/>
    <d v="2025-02-19T00:00:00"/>
    <x v="1"/>
    <x v="0"/>
    <x v="0"/>
    <x v="0"/>
    <x v="11"/>
    <x v="3"/>
    <x v="7"/>
    <x v="1"/>
  </r>
  <r>
    <x v="1235"/>
    <x v="1"/>
    <x v="0"/>
    <n v="60.7"/>
    <n v="60.7"/>
    <x v="48"/>
    <d v="2025-02-19T00:00:00"/>
    <x v="3"/>
    <x v="0"/>
    <x v="1"/>
    <x v="0"/>
    <x v="11"/>
    <x v="3"/>
    <x v="7"/>
    <x v="3"/>
  </r>
  <r>
    <x v="1236"/>
    <x v="17"/>
    <x v="12"/>
    <n v="87.4"/>
    <n v="349.6"/>
    <x v="48"/>
    <d v="2025-02-20T00:00:00"/>
    <x v="0"/>
    <x v="0"/>
    <x v="0"/>
    <x v="0"/>
    <x v="11"/>
    <x v="1"/>
    <x v="7"/>
    <x v="0"/>
  </r>
  <r>
    <x v="1237"/>
    <x v="4"/>
    <x v="3"/>
    <n v="44.5"/>
    <n v="311.5"/>
    <x v="48"/>
    <d v="2025-02-22T00:00:00"/>
    <x v="2"/>
    <x v="2"/>
    <x v="2"/>
    <x v="0"/>
    <x v="19"/>
    <x v="5"/>
    <x v="7"/>
    <x v="2"/>
  </r>
  <r>
    <x v="1238"/>
    <x v="2"/>
    <x v="0"/>
    <n v="141"/>
    <n v="141"/>
    <x v="48"/>
    <d v="2025-02-19T00:00:00"/>
    <x v="1"/>
    <x v="4"/>
    <x v="2"/>
    <x v="0"/>
    <x v="19"/>
    <x v="3"/>
    <x v="7"/>
    <x v="1"/>
  </r>
  <r>
    <x v="1239"/>
    <x v="0"/>
    <x v="2"/>
    <n v="16.7"/>
    <n v="50.099999999999994"/>
    <x v="48"/>
    <d v="2025-02-26T00:00:00"/>
    <x v="2"/>
    <x v="0"/>
    <x v="0"/>
    <x v="0"/>
    <x v="20"/>
    <x v="9"/>
    <x v="7"/>
    <x v="2"/>
  </r>
  <r>
    <x v="1240"/>
    <x v="1"/>
    <x v="1"/>
    <n v="77.5"/>
    <n v="155"/>
    <x v="48"/>
    <d v="2025-02-19T00:00:00"/>
    <x v="0"/>
    <x v="2"/>
    <x v="2"/>
    <x v="0"/>
    <x v="13"/>
    <x v="3"/>
    <x v="7"/>
    <x v="0"/>
  </r>
  <r>
    <x v="1241"/>
    <x v="2"/>
    <x v="1"/>
    <n v="163"/>
    <n v="326"/>
    <x v="48"/>
    <d v="2025-02-24T00:00:00"/>
    <x v="2"/>
    <x v="4"/>
    <x v="0"/>
    <x v="0"/>
    <x v="21"/>
    <x v="4"/>
    <x v="7"/>
    <x v="2"/>
  </r>
  <r>
    <x v="1242"/>
    <x v="4"/>
    <x v="11"/>
    <n v="21.4"/>
    <n v="192.6"/>
    <x v="48"/>
    <d v="2025-02-21T00:00:00"/>
    <x v="2"/>
    <x v="0"/>
    <x v="0"/>
    <x v="0"/>
    <x v="51"/>
    <x v="2"/>
    <x v="7"/>
    <x v="2"/>
  </r>
  <r>
    <x v="1243"/>
    <x v="10"/>
    <x v="5"/>
    <n v="31"/>
    <n v="341"/>
    <x v="48"/>
    <d v="2025-02-20T00:00:00"/>
    <x v="2"/>
    <x v="3"/>
    <x v="2"/>
    <x v="0"/>
    <x v="1"/>
    <x v="1"/>
    <x v="7"/>
    <x v="2"/>
  </r>
  <r>
    <x v="1244"/>
    <x v="7"/>
    <x v="1"/>
    <n v="34.299999999999997"/>
    <n v="68.599999999999994"/>
    <x v="48"/>
    <d v="2025-02-20T00:00:00"/>
    <x v="2"/>
    <x v="0"/>
    <x v="3"/>
    <x v="0"/>
    <x v="1"/>
    <x v="1"/>
    <x v="7"/>
    <x v="2"/>
  </r>
  <r>
    <x v="1245"/>
    <x v="17"/>
    <x v="9"/>
    <n v="48.2"/>
    <n v="241"/>
    <x v="48"/>
    <d v="2025-02-19T00:00:00"/>
    <x v="1"/>
    <x v="1"/>
    <x v="1"/>
    <x v="0"/>
    <x v="2"/>
    <x v="3"/>
    <x v="7"/>
    <x v="1"/>
  </r>
  <r>
    <x v="1246"/>
    <x v="10"/>
    <x v="0"/>
    <n v="51.4"/>
    <n v="51.4"/>
    <x v="48"/>
    <d v="2025-02-19T00:00:00"/>
    <x v="1"/>
    <x v="0"/>
    <x v="0"/>
    <x v="0"/>
    <x v="3"/>
    <x v="3"/>
    <x v="7"/>
    <x v="1"/>
  </r>
  <r>
    <x v="1247"/>
    <x v="2"/>
    <x v="9"/>
    <n v="117.2"/>
    <n v="586"/>
    <x v="48"/>
    <d v="2025-02-21T00:00:00"/>
    <x v="2"/>
    <x v="4"/>
    <x v="4"/>
    <x v="0"/>
    <x v="3"/>
    <x v="2"/>
    <x v="7"/>
    <x v="2"/>
  </r>
  <r>
    <x v="1248"/>
    <x v="8"/>
    <x v="0"/>
    <n v="38.1"/>
    <n v="38.1"/>
    <x v="48"/>
    <d v="2025-02-18T00:00:00"/>
    <x v="1"/>
    <x v="4"/>
    <x v="1"/>
    <x v="0"/>
    <x v="3"/>
    <x v="7"/>
    <x v="7"/>
    <x v="1"/>
  </r>
  <r>
    <x v="1249"/>
    <x v="0"/>
    <x v="1"/>
    <n v="44.1"/>
    <n v="88.2"/>
    <x v="48"/>
    <d v="2025-02-20T00:00:00"/>
    <x v="2"/>
    <x v="2"/>
    <x v="0"/>
    <x v="0"/>
    <x v="3"/>
    <x v="1"/>
    <x v="7"/>
    <x v="2"/>
  </r>
  <r>
    <x v="1250"/>
    <x v="15"/>
    <x v="12"/>
    <n v="80.5"/>
    <n v="322"/>
    <x v="48"/>
    <d v="2025-02-23T00:00:00"/>
    <x v="1"/>
    <x v="0"/>
    <x v="0"/>
    <x v="0"/>
    <x v="3"/>
    <x v="0"/>
    <x v="7"/>
    <x v="1"/>
  </r>
  <r>
    <x v="1251"/>
    <x v="18"/>
    <x v="12"/>
    <n v="33.6"/>
    <n v="134.4"/>
    <x v="48"/>
    <d v="2025-02-23T00:00:00"/>
    <x v="0"/>
    <x v="0"/>
    <x v="2"/>
    <x v="0"/>
    <x v="3"/>
    <x v="0"/>
    <x v="7"/>
    <x v="0"/>
  </r>
  <r>
    <x v="1252"/>
    <x v="9"/>
    <x v="11"/>
    <n v="41.8"/>
    <n v="376.2"/>
    <x v="48"/>
    <d v="2025-02-19T00:00:00"/>
    <x v="2"/>
    <x v="0"/>
    <x v="1"/>
    <x v="0"/>
    <x v="3"/>
    <x v="3"/>
    <x v="7"/>
    <x v="2"/>
  </r>
  <r>
    <x v="1253"/>
    <x v="1"/>
    <x v="1"/>
    <n v="106.2"/>
    <n v="212.4"/>
    <x v="48"/>
    <d v="2025-02-18T00:00:00"/>
    <x v="2"/>
    <x v="4"/>
    <x v="2"/>
    <x v="0"/>
    <x v="3"/>
    <x v="7"/>
    <x v="7"/>
    <x v="2"/>
  </r>
  <r>
    <x v="1254"/>
    <x v="1"/>
    <x v="1"/>
    <n v="52.6"/>
    <n v="105.2"/>
    <x v="48"/>
    <d v="2025-02-19T00:00:00"/>
    <x v="2"/>
    <x v="0"/>
    <x v="2"/>
    <x v="0"/>
    <x v="5"/>
    <x v="3"/>
    <x v="7"/>
    <x v="2"/>
  </r>
  <r>
    <x v="1255"/>
    <x v="11"/>
    <x v="3"/>
    <n v="68.5"/>
    <n v="479.5"/>
    <x v="48"/>
    <d v="2025-02-19T00:00:00"/>
    <x v="2"/>
    <x v="1"/>
    <x v="0"/>
    <x v="0"/>
    <x v="5"/>
    <x v="3"/>
    <x v="7"/>
    <x v="2"/>
  </r>
  <r>
    <x v="1256"/>
    <x v="1"/>
    <x v="1"/>
    <n v="55.6"/>
    <n v="111.2"/>
    <x v="48"/>
    <d v="2025-02-20T00:00:00"/>
    <x v="1"/>
    <x v="1"/>
    <x v="2"/>
    <x v="0"/>
    <x v="6"/>
    <x v="1"/>
    <x v="7"/>
    <x v="1"/>
  </r>
  <r>
    <x v="1257"/>
    <x v="2"/>
    <x v="2"/>
    <n v="134.9"/>
    <n v="404.70000000000005"/>
    <x v="48"/>
    <d v="2025-02-19T00:00:00"/>
    <x v="1"/>
    <x v="1"/>
    <x v="1"/>
    <x v="0"/>
    <x v="6"/>
    <x v="3"/>
    <x v="7"/>
    <x v="1"/>
  </r>
  <r>
    <x v="1258"/>
    <x v="10"/>
    <x v="9"/>
    <n v="42.6"/>
    <n v="213"/>
    <x v="48"/>
    <d v="2025-02-19T00:00:00"/>
    <x v="1"/>
    <x v="0"/>
    <x v="0"/>
    <x v="0"/>
    <x v="6"/>
    <x v="3"/>
    <x v="7"/>
    <x v="1"/>
  </r>
  <r>
    <x v="1259"/>
    <x v="7"/>
    <x v="9"/>
    <n v="60.6"/>
    <n v="303"/>
    <x v="48"/>
    <d v="2025-02-20T00:00:00"/>
    <x v="1"/>
    <x v="4"/>
    <x v="0"/>
    <x v="0"/>
    <x v="6"/>
    <x v="1"/>
    <x v="7"/>
    <x v="1"/>
  </r>
  <r>
    <x v="1260"/>
    <x v="8"/>
    <x v="1"/>
    <n v="43.5"/>
    <n v="87"/>
    <x v="48"/>
    <d v="2025-02-19T00:00:00"/>
    <x v="1"/>
    <x v="4"/>
    <x v="0"/>
    <x v="0"/>
    <x v="7"/>
    <x v="3"/>
    <x v="7"/>
    <x v="1"/>
  </r>
  <r>
    <x v="1261"/>
    <x v="2"/>
    <x v="1"/>
    <n v="187.1"/>
    <n v="374.2"/>
    <x v="48"/>
    <d v="2025-02-19T00:00:00"/>
    <x v="1"/>
    <x v="1"/>
    <x v="2"/>
    <x v="0"/>
    <x v="8"/>
    <x v="3"/>
    <x v="7"/>
    <x v="1"/>
  </r>
  <r>
    <x v="1262"/>
    <x v="9"/>
    <x v="2"/>
    <n v="32"/>
    <n v="96"/>
    <x v="48"/>
    <d v="2025-02-20T00:00:00"/>
    <x v="1"/>
    <x v="0"/>
    <x v="0"/>
    <x v="0"/>
    <x v="8"/>
    <x v="1"/>
    <x v="7"/>
    <x v="1"/>
  </r>
  <r>
    <x v="1263"/>
    <x v="9"/>
    <x v="1"/>
    <n v="110.8"/>
    <n v="221.6"/>
    <x v="48"/>
    <d v="2025-02-18T00:00:00"/>
    <x v="1"/>
    <x v="0"/>
    <x v="2"/>
    <x v="0"/>
    <x v="8"/>
    <x v="7"/>
    <x v="7"/>
    <x v="1"/>
  </r>
  <r>
    <x v="1264"/>
    <x v="10"/>
    <x v="15"/>
    <n v="36.1"/>
    <n v="469.3"/>
    <x v="48"/>
    <d v="2025-02-21T00:00:00"/>
    <x v="2"/>
    <x v="0"/>
    <x v="1"/>
    <x v="0"/>
    <x v="8"/>
    <x v="2"/>
    <x v="7"/>
    <x v="2"/>
  </r>
  <r>
    <x v="1265"/>
    <x v="0"/>
    <x v="0"/>
    <n v="24.1"/>
    <n v="24.1"/>
    <x v="48"/>
    <d v="2025-02-20T00:00:00"/>
    <x v="2"/>
    <x v="4"/>
    <x v="2"/>
    <x v="0"/>
    <x v="8"/>
    <x v="1"/>
    <x v="7"/>
    <x v="2"/>
  </r>
  <r>
    <x v="1266"/>
    <x v="19"/>
    <x v="2"/>
    <n v="30.5"/>
    <n v="91.5"/>
    <x v="48"/>
    <d v="2025-02-20T00:00:00"/>
    <x v="1"/>
    <x v="1"/>
    <x v="0"/>
    <x v="0"/>
    <x v="8"/>
    <x v="1"/>
    <x v="7"/>
    <x v="1"/>
  </r>
  <r>
    <x v="1267"/>
    <x v="18"/>
    <x v="13"/>
    <n v="68.3"/>
    <n v="409.79999999999995"/>
    <x v="48"/>
    <d v="2025-02-21T00:00:00"/>
    <x v="1"/>
    <x v="0"/>
    <x v="0"/>
    <x v="0"/>
    <x v="8"/>
    <x v="2"/>
    <x v="7"/>
    <x v="1"/>
  </r>
  <r>
    <x v="1268"/>
    <x v="7"/>
    <x v="2"/>
    <n v="43.3"/>
    <n v="129.89999999999998"/>
    <x v="48"/>
    <d v="2025-02-22T00:00:00"/>
    <x v="2"/>
    <x v="0"/>
    <x v="0"/>
    <x v="0"/>
    <x v="17"/>
    <x v="5"/>
    <x v="7"/>
    <x v="2"/>
  </r>
  <r>
    <x v="1269"/>
    <x v="3"/>
    <x v="0"/>
    <n v="101.7"/>
    <n v="101.7"/>
    <x v="48"/>
    <d v="2025-02-21T00:00:00"/>
    <x v="2"/>
    <x v="0"/>
    <x v="1"/>
    <x v="0"/>
    <x v="17"/>
    <x v="2"/>
    <x v="7"/>
    <x v="2"/>
  </r>
  <r>
    <x v="1270"/>
    <x v="11"/>
    <x v="1"/>
    <n v="54.2"/>
    <n v="108.4"/>
    <x v="48"/>
    <d v="2025-02-19T00:00:00"/>
    <x v="2"/>
    <x v="0"/>
    <x v="1"/>
    <x v="0"/>
    <x v="17"/>
    <x v="3"/>
    <x v="7"/>
    <x v="2"/>
  </r>
  <r>
    <x v="1271"/>
    <x v="16"/>
    <x v="1"/>
    <n v="51"/>
    <n v="102"/>
    <x v="48"/>
    <d v="2025-02-18T00:00:00"/>
    <x v="1"/>
    <x v="1"/>
    <x v="0"/>
    <x v="0"/>
    <x v="26"/>
    <x v="7"/>
    <x v="7"/>
    <x v="1"/>
  </r>
  <r>
    <x v="1272"/>
    <x v="4"/>
    <x v="1"/>
    <n v="23.1"/>
    <n v="46.2"/>
    <x v="48"/>
    <d v="2025-02-21T00:00:00"/>
    <x v="1"/>
    <x v="1"/>
    <x v="0"/>
    <x v="0"/>
    <x v="10"/>
    <x v="2"/>
    <x v="7"/>
    <x v="1"/>
  </r>
  <r>
    <x v="1273"/>
    <x v="12"/>
    <x v="13"/>
    <n v="60.1"/>
    <n v="360.6"/>
    <x v="48"/>
    <d v="2025-02-18T00:00:00"/>
    <x v="2"/>
    <x v="3"/>
    <x v="0"/>
    <x v="0"/>
    <x v="11"/>
    <x v="7"/>
    <x v="7"/>
    <x v="2"/>
  </r>
  <r>
    <x v="1274"/>
    <x v="2"/>
    <x v="3"/>
    <n v="87.5"/>
    <n v="612.5"/>
    <x v="48"/>
    <d v="2025-02-20T00:00:00"/>
    <x v="2"/>
    <x v="0"/>
    <x v="1"/>
    <x v="0"/>
    <x v="11"/>
    <x v="1"/>
    <x v="7"/>
    <x v="2"/>
  </r>
  <r>
    <x v="1275"/>
    <x v="1"/>
    <x v="2"/>
    <n v="51"/>
    <n v="153"/>
    <x v="48"/>
    <d v="2025-02-19T00:00:00"/>
    <x v="2"/>
    <x v="1"/>
    <x v="0"/>
    <x v="0"/>
    <x v="11"/>
    <x v="3"/>
    <x v="7"/>
    <x v="2"/>
  </r>
  <r>
    <x v="1276"/>
    <x v="8"/>
    <x v="12"/>
    <n v="19.2"/>
    <n v="76.8"/>
    <x v="48"/>
    <d v="2025-02-20T00:00:00"/>
    <x v="2"/>
    <x v="0"/>
    <x v="0"/>
    <x v="0"/>
    <x v="11"/>
    <x v="1"/>
    <x v="7"/>
    <x v="2"/>
  </r>
  <r>
    <x v="1277"/>
    <x v="5"/>
    <x v="8"/>
    <n v="26.5"/>
    <n v="212"/>
    <x v="48"/>
    <d v="2025-02-19T00:00:00"/>
    <x v="0"/>
    <x v="3"/>
    <x v="2"/>
    <x v="0"/>
    <x v="11"/>
    <x v="3"/>
    <x v="7"/>
    <x v="0"/>
  </r>
  <r>
    <x v="1278"/>
    <x v="2"/>
    <x v="1"/>
    <n v="220.3"/>
    <n v="440.6"/>
    <x v="48"/>
    <d v="2025-02-19T00:00:00"/>
    <x v="2"/>
    <x v="1"/>
    <x v="4"/>
    <x v="0"/>
    <x v="53"/>
    <x v="3"/>
    <x v="7"/>
    <x v="2"/>
  </r>
  <r>
    <x v="1279"/>
    <x v="8"/>
    <x v="2"/>
    <n v="45.7"/>
    <n v="137.10000000000002"/>
    <x v="48"/>
    <d v="2025-02-19T00:00:00"/>
    <x v="2"/>
    <x v="4"/>
    <x v="0"/>
    <x v="0"/>
    <x v="30"/>
    <x v="3"/>
    <x v="7"/>
    <x v="2"/>
  </r>
  <r>
    <x v="1280"/>
    <x v="5"/>
    <x v="9"/>
    <n v="47.1"/>
    <n v="235.5"/>
    <x v="48"/>
    <d v="2025-02-22T00:00:00"/>
    <x v="2"/>
    <x v="3"/>
    <x v="0"/>
    <x v="0"/>
    <x v="13"/>
    <x v="5"/>
    <x v="7"/>
    <x v="2"/>
  </r>
  <r>
    <x v="1281"/>
    <x v="1"/>
    <x v="9"/>
    <n v="81.7"/>
    <n v="408.5"/>
    <x v="48"/>
    <d v="2025-02-19T00:00:00"/>
    <x v="2"/>
    <x v="0"/>
    <x v="2"/>
    <x v="0"/>
    <x v="21"/>
    <x v="3"/>
    <x v="7"/>
    <x v="2"/>
  </r>
  <r>
    <x v="1282"/>
    <x v="6"/>
    <x v="7"/>
    <n v="97.8"/>
    <n v="978"/>
    <x v="48"/>
    <d v="2025-02-18T00:00:00"/>
    <x v="1"/>
    <x v="1"/>
    <x v="1"/>
    <x v="0"/>
    <x v="21"/>
    <x v="7"/>
    <x v="7"/>
    <x v="1"/>
  </r>
  <r>
    <x v="1283"/>
    <x v="6"/>
    <x v="2"/>
    <n v="42.4"/>
    <n v="127.19999999999999"/>
    <x v="48"/>
    <d v="2025-02-19T00:00:00"/>
    <x v="2"/>
    <x v="0"/>
    <x v="2"/>
    <x v="0"/>
    <x v="54"/>
    <x v="3"/>
    <x v="7"/>
    <x v="2"/>
  </r>
  <r>
    <x v="1284"/>
    <x v="2"/>
    <x v="7"/>
    <n v="74.5"/>
    <n v="745"/>
    <x v="48"/>
    <d v="2025-02-19T00:00:00"/>
    <x v="1"/>
    <x v="2"/>
    <x v="1"/>
    <x v="0"/>
    <x v="1"/>
    <x v="3"/>
    <x v="7"/>
    <x v="1"/>
  </r>
  <r>
    <x v="1285"/>
    <x v="17"/>
    <x v="13"/>
    <n v="47.4"/>
    <n v="284.39999999999998"/>
    <x v="48"/>
    <d v="2025-02-19T00:00:00"/>
    <x v="1"/>
    <x v="1"/>
    <x v="0"/>
    <x v="0"/>
    <x v="1"/>
    <x v="3"/>
    <x v="7"/>
    <x v="1"/>
  </r>
  <r>
    <x v="1286"/>
    <x v="14"/>
    <x v="2"/>
    <n v="17.3"/>
    <n v="51.900000000000006"/>
    <x v="49"/>
    <d v="2025-02-22T00:00:00"/>
    <x v="1"/>
    <x v="2"/>
    <x v="2"/>
    <x v="0"/>
    <x v="1"/>
    <x v="2"/>
    <x v="7"/>
    <x v="1"/>
  </r>
  <r>
    <x v="1287"/>
    <x v="12"/>
    <x v="12"/>
    <n v="77.900000000000006"/>
    <n v="311.60000000000002"/>
    <x v="49"/>
    <d v="2025-02-20T00:00:00"/>
    <x v="1"/>
    <x v="1"/>
    <x v="0"/>
    <x v="0"/>
    <x v="2"/>
    <x v="3"/>
    <x v="7"/>
    <x v="1"/>
  </r>
  <r>
    <x v="1288"/>
    <x v="8"/>
    <x v="0"/>
    <n v="29.1"/>
    <n v="29.1"/>
    <x v="49"/>
    <d v="2025-02-22T00:00:00"/>
    <x v="1"/>
    <x v="0"/>
    <x v="2"/>
    <x v="0"/>
    <x v="50"/>
    <x v="2"/>
    <x v="7"/>
    <x v="1"/>
  </r>
  <r>
    <x v="1289"/>
    <x v="8"/>
    <x v="0"/>
    <n v="49"/>
    <n v="49"/>
    <x v="49"/>
    <d v="2025-02-20T00:00:00"/>
    <x v="1"/>
    <x v="1"/>
    <x v="0"/>
    <x v="0"/>
    <x v="3"/>
    <x v="3"/>
    <x v="7"/>
    <x v="1"/>
  </r>
  <r>
    <x v="1290"/>
    <x v="8"/>
    <x v="13"/>
    <n v="21.1"/>
    <n v="126.60000000000001"/>
    <x v="49"/>
    <d v="2025-02-26T00:00:00"/>
    <x v="1"/>
    <x v="0"/>
    <x v="2"/>
    <x v="0"/>
    <x v="3"/>
    <x v="6"/>
    <x v="7"/>
    <x v="1"/>
  </r>
  <r>
    <x v="1291"/>
    <x v="4"/>
    <x v="10"/>
    <n v="36.9"/>
    <n v="701.1"/>
    <x v="49"/>
    <d v="2025-02-19T00:00:00"/>
    <x v="2"/>
    <x v="0"/>
    <x v="0"/>
    <x v="0"/>
    <x v="3"/>
    <x v="7"/>
    <x v="7"/>
    <x v="2"/>
  </r>
  <r>
    <x v="1292"/>
    <x v="1"/>
    <x v="7"/>
    <n v="92.6"/>
    <n v="926"/>
    <x v="49"/>
    <d v="2025-02-24T00:00:00"/>
    <x v="1"/>
    <x v="4"/>
    <x v="2"/>
    <x v="0"/>
    <x v="3"/>
    <x v="0"/>
    <x v="7"/>
    <x v="1"/>
  </r>
  <r>
    <x v="1293"/>
    <x v="10"/>
    <x v="1"/>
    <n v="38"/>
    <n v="76"/>
    <x v="49"/>
    <d v="2025-02-20T00:00:00"/>
    <x v="1"/>
    <x v="1"/>
    <x v="1"/>
    <x v="0"/>
    <x v="3"/>
    <x v="3"/>
    <x v="7"/>
    <x v="1"/>
  </r>
  <r>
    <x v="1294"/>
    <x v="5"/>
    <x v="2"/>
    <n v="54.8"/>
    <n v="164.39999999999998"/>
    <x v="49"/>
    <d v="2025-02-23T00:00:00"/>
    <x v="0"/>
    <x v="0"/>
    <x v="1"/>
    <x v="0"/>
    <x v="3"/>
    <x v="5"/>
    <x v="7"/>
    <x v="0"/>
  </r>
  <r>
    <x v="1295"/>
    <x v="10"/>
    <x v="4"/>
    <n v="56.8"/>
    <n v="681.59999999999991"/>
    <x v="49"/>
    <d v="2025-02-21T00:00:00"/>
    <x v="1"/>
    <x v="1"/>
    <x v="0"/>
    <x v="0"/>
    <x v="3"/>
    <x v="1"/>
    <x v="7"/>
    <x v="1"/>
  </r>
  <r>
    <x v="1296"/>
    <x v="11"/>
    <x v="40"/>
    <n v="47.2"/>
    <n v="1557.6000000000001"/>
    <x v="49"/>
    <d v="2025-02-22T00:00:00"/>
    <x v="2"/>
    <x v="1"/>
    <x v="0"/>
    <x v="0"/>
    <x v="3"/>
    <x v="2"/>
    <x v="7"/>
    <x v="2"/>
  </r>
  <r>
    <x v="1297"/>
    <x v="7"/>
    <x v="13"/>
    <n v="45.1"/>
    <n v="270.60000000000002"/>
    <x v="49"/>
    <d v="2025-02-20T00:00:00"/>
    <x v="2"/>
    <x v="2"/>
    <x v="0"/>
    <x v="0"/>
    <x v="43"/>
    <x v="3"/>
    <x v="7"/>
    <x v="2"/>
  </r>
  <r>
    <x v="1298"/>
    <x v="4"/>
    <x v="4"/>
    <n v="25.2"/>
    <n v="302.39999999999998"/>
    <x v="49"/>
    <d v="2025-02-24T00:00:00"/>
    <x v="2"/>
    <x v="2"/>
    <x v="0"/>
    <x v="0"/>
    <x v="16"/>
    <x v="0"/>
    <x v="7"/>
    <x v="2"/>
  </r>
  <r>
    <x v="1299"/>
    <x v="8"/>
    <x v="0"/>
    <n v="22"/>
    <n v="22"/>
    <x v="49"/>
    <d v="2025-02-20T00:00:00"/>
    <x v="2"/>
    <x v="0"/>
    <x v="0"/>
    <x v="0"/>
    <x v="5"/>
    <x v="3"/>
    <x v="7"/>
    <x v="2"/>
  </r>
  <r>
    <x v="1300"/>
    <x v="6"/>
    <x v="1"/>
    <n v="42.2"/>
    <n v="84.4"/>
    <x v="49"/>
    <d v="2025-02-20T00:00:00"/>
    <x v="2"/>
    <x v="1"/>
    <x v="1"/>
    <x v="0"/>
    <x v="23"/>
    <x v="3"/>
    <x v="7"/>
    <x v="2"/>
  </r>
  <r>
    <x v="1301"/>
    <x v="13"/>
    <x v="2"/>
    <n v="20.5"/>
    <n v="61.5"/>
    <x v="49"/>
    <d v="2025-02-20T00:00:00"/>
    <x v="1"/>
    <x v="0"/>
    <x v="1"/>
    <x v="0"/>
    <x v="6"/>
    <x v="3"/>
    <x v="7"/>
    <x v="1"/>
  </r>
  <r>
    <x v="1302"/>
    <x v="2"/>
    <x v="0"/>
    <n v="190.4"/>
    <n v="190.4"/>
    <x v="49"/>
    <d v="2025-02-24T00:00:00"/>
    <x v="1"/>
    <x v="1"/>
    <x v="4"/>
    <x v="0"/>
    <x v="6"/>
    <x v="0"/>
    <x v="7"/>
    <x v="1"/>
  </r>
  <r>
    <x v="1303"/>
    <x v="2"/>
    <x v="0"/>
    <n v="121.9"/>
    <n v="121.9"/>
    <x v="49"/>
    <d v="2025-02-21T00:00:00"/>
    <x v="2"/>
    <x v="1"/>
    <x v="2"/>
    <x v="0"/>
    <x v="6"/>
    <x v="1"/>
    <x v="7"/>
    <x v="2"/>
  </r>
  <r>
    <x v="1304"/>
    <x v="2"/>
    <x v="13"/>
    <n v="149.19999999999999"/>
    <n v="895.19999999999993"/>
    <x v="49"/>
    <d v="2025-02-20T00:00:00"/>
    <x v="2"/>
    <x v="2"/>
    <x v="2"/>
    <x v="0"/>
    <x v="7"/>
    <x v="3"/>
    <x v="7"/>
    <x v="2"/>
  </r>
  <r>
    <x v="1305"/>
    <x v="2"/>
    <x v="0"/>
    <n v="54.1"/>
    <n v="54.1"/>
    <x v="49"/>
    <d v="2025-02-28T00:00:00"/>
    <x v="2"/>
    <x v="2"/>
    <x v="2"/>
    <x v="0"/>
    <x v="7"/>
    <x v="8"/>
    <x v="7"/>
    <x v="2"/>
  </r>
  <r>
    <x v="1306"/>
    <x v="5"/>
    <x v="1"/>
    <n v="27.4"/>
    <n v="54.8"/>
    <x v="49"/>
    <d v="2025-02-21T00:00:00"/>
    <x v="1"/>
    <x v="1"/>
    <x v="0"/>
    <x v="0"/>
    <x v="8"/>
    <x v="1"/>
    <x v="7"/>
    <x v="1"/>
  </r>
  <r>
    <x v="1307"/>
    <x v="0"/>
    <x v="15"/>
    <n v="30.4"/>
    <n v="395.2"/>
    <x v="49"/>
    <d v="2025-02-20T00:00:00"/>
    <x v="2"/>
    <x v="0"/>
    <x v="2"/>
    <x v="0"/>
    <x v="8"/>
    <x v="3"/>
    <x v="7"/>
    <x v="2"/>
  </r>
  <r>
    <x v="1308"/>
    <x v="12"/>
    <x v="2"/>
    <n v="46.2"/>
    <n v="138.60000000000002"/>
    <x v="49"/>
    <d v="2025-02-21T00:00:00"/>
    <x v="1"/>
    <x v="2"/>
    <x v="1"/>
    <x v="0"/>
    <x v="17"/>
    <x v="1"/>
    <x v="7"/>
    <x v="1"/>
  </r>
  <r>
    <x v="1309"/>
    <x v="7"/>
    <x v="8"/>
    <n v="78.599999999999994"/>
    <n v="628.79999999999995"/>
    <x v="49"/>
    <d v="2025-02-23T00:00:00"/>
    <x v="1"/>
    <x v="3"/>
    <x v="0"/>
    <x v="0"/>
    <x v="17"/>
    <x v="5"/>
    <x v="7"/>
    <x v="1"/>
  </r>
  <r>
    <x v="1310"/>
    <x v="17"/>
    <x v="7"/>
    <n v="25.9"/>
    <n v="259"/>
    <x v="49"/>
    <d v="2025-02-25T00:00:00"/>
    <x v="1"/>
    <x v="4"/>
    <x v="0"/>
    <x v="0"/>
    <x v="9"/>
    <x v="4"/>
    <x v="7"/>
    <x v="1"/>
  </r>
  <r>
    <x v="1311"/>
    <x v="6"/>
    <x v="0"/>
    <n v="134.80000000000001"/>
    <n v="134.80000000000001"/>
    <x v="49"/>
    <d v="2025-02-21T00:00:00"/>
    <x v="1"/>
    <x v="2"/>
    <x v="2"/>
    <x v="0"/>
    <x v="9"/>
    <x v="1"/>
    <x v="7"/>
    <x v="1"/>
  </r>
  <r>
    <x v="1312"/>
    <x v="15"/>
    <x v="9"/>
    <n v="43.1"/>
    <n v="215.5"/>
    <x v="49"/>
    <d v="2025-02-21T00:00:00"/>
    <x v="2"/>
    <x v="0"/>
    <x v="0"/>
    <x v="0"/>
    <x v="11"/>
    <x v="1"/>
    <x v="7"/>
    <x v="2"/>
  </r>
  <r>
    <x v="1313"/>
    <x v="2"/>
    <x v="1"/>
    <n v="215.6"/>
    <n v="431.2"/>
    <x v="49"/>
    <d v="2025-02-20T00:00:00"/>
    <x v="2"/>
    <x v="2"/>
    <x v="0"/>
    <x v="0"/>
    <x v="18"/>
    <x v="3"/>
    <x v="7"/>
    <x v="2"/>
  </r>
  <r>
    <x v="1314"/>
    <x v="6"/>
    <x v="1"/>
    <n v="80.7"/>
    <n v="161.4"/>
    <x v="49"/>
    <d v="2025-02-22T00:00:00"/>
    <x v="2"/>
    <x v="3"/>
    <x v="0"/>
    <x v="0"/>
    <x v="18"/>
    <x v="2"/>
    <x v="7"/>
    <x v="2"/>
  </r>
  <r>
    <x v="1315"/>
    <x v="10"/>
    <x v="3"/>
    <n v="20.6"/>
    <n v="144.20000000000002"/>
    <x v="49"/>
    <d v="2025-02-24T00:00:00"/>
    <x v="0"/>
    <x v="2"/>
    <x v="1"/>
    <x v="0"/>
    <x v="19"/>
    <x v="0"/>
    <x v="7"/>
    <x v="0"/>
  </r>
  <r>
    <x v="1316"/>
    <x v="12"/>
    <x v="2"/>
    <n v="37.1"/>
    <n v="111.30000000000001"/>
    <x v="49"/>
    <d v="2025-02-20T00:00:00"/>
    <x v="2"/>
    <x v="0"/>
    <x v="0"/>
    <x v="0"/>
    <x v="52"/>
    <x v="3"/>
    <x v="7"/>
    <x v="2"/>
  </r>
  <r>
    <x v="1317"/>
    <x v="12"/>
    <x v="0"/>
    <n v="104.8"/>
    <n v="104.8"/>
    <x v="50"/>
    <d v="2025-02-22T00:00:00"/>
    <x v="2"/>
    <x v="0"/>
    <x v="0"/>
    <x v="0"/>
    <x v="13"/>
    <x v="1"/>
    <x v="7"/>
    <x v="2"/>
  </r>
  <r>
    <x v="1318"/>
    <x v="8"/>
    <x v="1"/>
    <n v="59"/>
    <n v="118"/>
    <x v="50"/>
    <d v="2025-02-21T00:00:00"/>
    <x v="1"/>
    <x v="1"/>
    <x v="0"/>
    <x v="0"/>
    <x v="21"/>
    <x v="3"/>
    <x v="7"/>
    <x v="1"/>
  </r>
  <r>
    <x v="1319"/>
    <x v="8"/>
    <x v="1"/>
    <n v="32.299999999999997"/>
    <n v="64.599999999999994"/>
    <x v="50"/>
    <d v="2025-02-21T00:00:00"/>
    <x v="1"/>
    <x v="0"/>
    <x v="2"/>
    <x v="0"/>
    <x v="21"/>
    <x v="3"/>
    <x v="7"/>
    <x v="1"/>
  </r>
  <r>
    <x v="1320"/>
    <x v="8"/>
    <x v="12"/>
    <n v="28.9"/>
    <n v="115.6"/>
    <x v="50"/>
    <d v="2025-02-27T00:00:00"/>
    <x v="1"/>
    <x v="0"/>
    <x v="0"/>
    <x v="0"/>
    <x v="1"/>
    <x v="6"/>
    <x v="7"/>
    <x v="1"/>
  </r>
  <r>
    <x v="1321"/>
    <x v="0"/>
    <x v="1"/>
    <n v="29.6"/>
    <n v="59.2"/>
    <x v="50"/>
    <d v="2025-02-22T00:00:00"/>
    <x v="1"/>
    <x v="0"/>
    <x v="0"/>
    <x v="0"/>
    <x v="1"/>
    <x v="1"/>
    <x v="7"/>
    <x v="1"/>
  </r>
  <r>
    <x v="1322"/>
    <x v="0"/>
    <x v="9"/>
    <n v="29.4"/>
    <n v="147"/>
    <x v="50"/>
    <d v="2025-02-23T00:00:00"/>
    <x v="2"/>
    <x v="0"/>
    <x v="0"/>
    <x v="0"/>
    <x v="1"/>
    <x v="2"/>
    <x v="7"/>
    <x v="2"/>
  </r>
  <r>
    <x v="1323"/>
    <x v="1"/>
    <x v="1"/>
    <n v="40.6"/>
    <n v="81.2"/>
    <x v="50"/>
    <d v="2025-02-21T00:00:00"/>
    <x v="1"/>
    <x v="0"/>
    <x v="4"/>
    <x v="0"/>
    <x v="2"/>
    <x v="3"/>
    <x v="7"/>
    <x v="1"/>
  </r>
  <r>
    <x v="1324"/>
    <x v="0"/>
    <x v="2"/>
    <n v="32.5"/>
    <n v="97.5"/>
    <x v="50"/>
    <d v="2025-02-21T00:00:00"/>
    <x v="1"/>
    <x v="3"/>
    <x v="2"/>
    <x v="0"/>
    <x v="22"/>
    <x v="3"/>
    <x v="7"/>
    <x v="1"/>
  </r>
  <r>
    <x v="1325"/>
    <x v="15"/>
    <x v="0"/>
    <n v="26.2"/>
    <n v="26.2"/>
    <x v="50"/>
    <d v="2025-02-22T00:00:00"/>
    <x v="1"/>
    <x v="2"/>
    <x v="0"/>
    <x v="0"/>
    <x v="55"/>
    <x v="1"/>
    <x v="7"/>
    <x v="1"/>
  </r>
  <r>
    <x v="1326"/>
    <x v="10"/>
    <x v="17"/>
    <n v="44"/>
    <n v="1320"/>
    <x v="50"/>
    <d v="2025-02-26T00:00:00"/>
    <x v="1"/>
    <x v="4"/>
    <x v="0"/>
    <x v="0"/>
    <x v="3"/>
    <x v="4"/>
    <x v="7"/>
    <x v="1"/>
  </r>
  <r>
    <x v="1327"/>
    <x v="7"/>
    <x v="12"/>
    <n v="65.599999999999994"/>
    <n v="262.39999999999998"/>
    <x v="50"/>
    <d v="2025-02-21T00:00:00"/>
    <x v="2"/>
    <x v="1"/>
    <x v="1"/>
    <x v="0"/>
    <x v="3"/>
    <x v="3"/>
    <x v="7"/>
    <x v="2"/>
  </r>
  <r>
    <x v="1328"/>
    <x v="5"/>
    <x v="4"/>
    <n v="32.6"/>
    <n v="391.20000000000005"/>
    <x v="50"/>
    <d v="2025-02-21T00:00:00"/>
    <x v="1"/>
    <x v="4"/>
    <x v="0"/>
    <x v="0"/>
    <x v="3"/>
    <x v="3"/>
    <x v="7"/>
    <x v="1"/>
  </r>
  <r>
    <x v="1329"/>
    <x v="16"/>
    <x v="1"/>
    <n v="88.7"/>
    <n v="177.4"/>
    <x v="50"/>
    <d v="2025-02-21T00:00:00"/>
    <x v="0"/>
    <x v="3"/>
    <x v="2"/>
    <x v="0"/>
    <x v="3"/>
    <x v="3"/>
    <x v="7"/>
    <x v="0"/>
  </r>
  <r>
    <x v="1330"/>
    <x v="4"/>
    <x v="1"/>
    <n v="21.3"/>
    <n v="42.6"/>
    <x v="50"/>
    <d v="2025-02-21T00:00:00"/>
    <x v="1"/>
    <x v="0"/>
    <x v="0"/>
    <x v="0"/>
    <x v="3"/>
    <x v="3"/>
    <x v="7"/>
    <x v="1"/>
  </r>
  <r>
    <x v="1331"/>
    <x v="4"/>
    <x v="13"/>
    <n v="50.6"/>
    <n v="303.60000000000002"/>
    <x v="50"/>
    <d v="2025-02-24T00:00:00"/>
    <x v="2"/>
    <x v="2"/>
    <x v="0"/>
    <x v="0"/>
    <x v="3"/>
    <x v="5"/>
    <x v="7"/>
    <x v="2"/>
  </r>
  <r>
    <x v="1332"/>
    <x v="9"/>
    <x v="38"/>
    <n v="86.9"/>
    <n v="1824.9"/>
    <x v="50"/>
    <d v="2025-02-23T00:00:00"/>
    <x v="2"/>
    <x v="0"/>
    <x v="1"/>
    <x v="0"/>
    <x v="3"/>
    <x v="2"/>
    <x v="7"/>
    <x v="2"/>
  </r>
  <r>
    <x v="1333"/>
    <x v="11"/>
    <x v="2"/>
    <n v="31.8"/>
    <n v="95.4"/>
    <x v="50"/>
    <d v="2025-02-22T00:00:00"/>
    <x v="1"/>
    <x v="0"/>
    <x v="2"/>
    <x v="0"/>
    <x v="3"/>
    <x v="1"/>
    <x v="7"/>
    <x v="1"/>
  </r>
  <r>
    <x v="1334"/>
    <x v="8"/>
    <x v="0"/>
    <n v="19"/>
    <n v="19"/>
    <x v="50"/>
    <d v="2025-02-21T00:00:00"/>
    <x v="2"/>
    <x v="0"/>
    <x v="2"/>
    <x v="0"/>
    <x v="3"/>
    <x v="3"/>
    <x v="7"/>
    <x v="2"/>
  </r>
  <r>
    <x v="1335"/>
    <x v="5"/>
    <x v="0"/>
    <n v="54.5"/>
    <n v="54.5"/>
    <x v="50"/>
    <d v="2025-02-22T00:00:00"/>
    <x v="1"/>
    <x v="0"/>
    <x v="0"/>
    <x v="0"/>
    <x v="3"/>
    <x v="1"/>
    <x v="7"/>
    <x v="1"/>
  </r>
  <r>
    <x v="1336"/>
    <x v="9"/>
    <x v="9"/>
    <n v="68.900000000000006"/>
    <n v="344.5"/>
    <x v="50"/>
    <d v="2025-02-22T00:00:00"/>
    <x v="1"/>
    <x v="4"/>
    <x v="1"/>
    <x v="0"/>
    <x v="3"/>
    <x v="1"/>
    <x v="7"/>
    <x v="1"/>
  </r>
  <r>
    <x v="1337"/>
    <x v="6"/>
    <x v="2"/>
    <n v="84"/>
    <n v="252"/>
    <x v="50"/>
    <d v="2025-02-21T00:00:00"/>
    <x v="1"/>
    <x v="1"/>
    <x v="4"/>
    <x v="0"/>
    <x v="16"/>
    <x v="3"/>
    <x v="7"/>
    <x v="1"/>
  </r>
  <r>
    <x v="1338"/>
    <x v="15"/>
    <x v="8"/>
    <n v="23.1"/>
    <n v="184.8"/>
    <x v="50"/>
    <d v="2025-02-25T00:00:00"/>
    <x v="1"/>
    <x v="0"/>
    <x v="2"/>
    <x v="0"/>
    <x v="23"/>
    <x v="0"/>
    <x v="7"/>
    <x v="1"/>
  </r>
  <r>
    <x v="1339"/>
    <x v="7"/>
    <x v="1"/>
    <n v="62.4"/>
    <n v="124.8"/>
    <x v="50"/>
    <d v="2025-02-21T00:00:00"/>
    <x v="2"/>
    <x v="0"/>
    <x v="1"/>
    <x v="0"/>
    <x v="6"/>
    <x v="3"/>
    <x v="7"/>
    <x v="2"/>
  </r>
  <r>
    <x v="1340"/>
    <x v="6"/>
    <x v="4"/>
    <n v="40.700000000000003"/>
    <n v="488.40000000000003"/>
    <x v="50"/>
    <d v="2025-02-22T00:00:00"/>
    <x v="1"/>
    <x v="1"/>
    <x v="2"/>
    <x v="0"/>
    <x v="6"/>
    <x v="1"/>
    <x v="7"/>
    <x v="1"/>
  </r>
  <r>
    <x v="1341"/>
    <x v="6"/>
    <x v="0"/>
    <n v="49.6"/>
    <n v="49.6"/>
    <x v="50"/>
    <d v="2025-02-23T00:00:00"/>
    <x v="1"/>
    <x v="2"/>
    <x v="0"/>
    <x v="0"/>
    <x v="7"/>
    <x v="2"/>
    <x v="7"/>
    <x v="1"/>
  </r>
  <r>
    <x v="1342"/>
    <x v="7"/>
    <x v="41"/>
    <n v="66.599999999999994"/>
    <n v="2996.9999999999995"/>
    <x v="50"/>
    <d v="2025-02-23T00:00:00"/>
    <x v="1"/>
    <x v="2"/>
    <x v="0"/>
    <x v="0"/>
    <x v="8"/>
    <x v="2"/>
    <x v="7"/>
    <x v="1"/>
  </r>
  <r>
    <x v="1343"/>
    <x v="8"/>
    <x v="2"/>
    <n v="26.4"/>
    <n v="79.199999999999989"/>
    <x v="50"/>
    <d v="2025-02-21T00:00:00"/>
    <x v="2"/>
    <x v="1"/>
    <x v="1"/>
    <x v="0"/>
    <x v="8"/>
    <x v="3"/>
    <x v="7"/>
    <x v="2"/>
  </r>
  <r>
    <x v="1344"/>
    <x v="0"/>
    <x v="1"/>
    <n v="17.2"/>
    <n v="34.4"/>
    <x v="50"/>
    <d v="2025-02-23T00:00:00"/>
    <x v="1"/>
    <x v="2"/>
    <x v="1"/>
    <x v="0"/>
    <x v="8"/>
    <x v="2"/>
    <x v="7"/>
    <x v="1"/>
  </r>
  <r>
    <x v="1345"/>
    <x v="5"/>
    <x v="8"/>
    <n v="58.1"/>
    <n v="464.8"/>
    <x v="50"/>
    <d v="2025-02-23T00:00:00"/>
    <x v="2"/>
    <x v="4"/>
    <x v="0"/>
    <x v="0"/>
    <x v="8"/>
    <x v="2"/>
    <x v="7"/>
    <x v="2"/>
  </r>
  <r>
    <x v="1346"/>
    <x v="15"/>
    <x v="12"/>
    <n v="31.5"/>
    <n v="126"/>
    <x v="50"/>
    <d v="2025-02-23T00:00:00"/>
    <x v="2"/>
    <x v="4"/>
    <x v="4"/>
    <x v="0"/>
    <x v="8"/>
    <x v="2"/>
    <x v="7"/>
    <x v="2"/>
  </r>
  <r>
    <x v="1347"/>
    <x v="0"/>
    <x v="0"/>
    <n v="27.1"/>
    <n v="27.1"/>
    <x v="50"/>
    <d v="2025-02-22T00:00:00"/>
    <x v="2"/>
    <x v="0"/>
    <x v="1"/>
    <x v="0"/>
    <x v="17"/>
    <x v="1"/>
    <x v="7"/>
    <x v="2"/>
  </r>
  <r>
    <x v="1348"/>
    <x v="18"/>
    <x v="12"/>
    <n v="28.5"/>
    <n v="114"/>
    <x v="50"/>
    <d v="2025-02-22T00:00:00"/>
    <x v="1"/>
    <x v="1"/>
    <x v="2"/>
    <x v="0"/>
    <x v="9"/>
    <x v="1"/>
    <x v="7"/>
    <x v="1"/>
  </r>
  <r>
    <x v="1349"/>
    <x v="10"/>
    <x v="0"/>
    <n v="40.5"/>
    <n v="40.5"/>
    <x v="51"/>
    <d v="2025-02-23T00:00:00"/>
    <x v="3"/>
    <x v="2"/>
    <x v="0"/>
    <x v="0"/>
    <x v="9"/>
    <x v="1"/>
    <x v="7"/>
    <x v="3"/>
  </r>
  <r>
    <x v="1350"/>
    <x v="2"/>
    <x v="2"/>
    <n v="77.900000000000006"/>
    <n v="233.70000000000002"/>
    <x v="51"/>
    <d v="2025-02-25T00:00:00"/>
    <x v="2"/>
    <x v="1"/>
    <x v="2"/>
    <x v="0"/>
    <x v="19"/>
    <x v="5"/>
    <x v="7"/>
    <x v="2"/>
  </r>
  <r>
    <x v="1351"/>
    <x v="18"/>
    <x v="12"/>
    <n v="37.1"/>
    <n v="148.4"/>
    <x v="51"/>
    <d v="2025-02-23T00:00:00"/>
    <x v="1"/>
    <x v="4"/>
    <x v="2"/>
    <x v="0"/>
    <x v="19"/>
    <x v="1"/>
    <x v="7"/>
    <x v="1"/>
  </r>
  <r>
    <x v="1352"/>
    <x v="16"/>
    <x v="2"/>
    <n v="51.6"/>
    <n v="154.80000000000001"/>
    <x v="51"/>
    <d v="2025-03-01T00:00:00"/>
    <x v="2"/>
    <x v="0"/>
    <x v="4"/>
    <x v="0"/>
    <x v="19"/>
    <x v="9"/>
    <x v="7"/>
    <x v="2"/>
  </r>
  <r>
    <x v="1353"/>
    <x v="7"/>
    <x v="2"/>
    <n v="98"/>
    <n v="294"/>
    <x v="51"/>
    <d v="2025-02-22T00:00:00"/>
    <x v="1"/>
    <x v="1"/>
    <x v="1"/>
    <x v="0"/>
    <x v="19"/>
    <x v="3"/>
    <x v="7"/>
    <x v="1"/>
  </r>
  <r>
    <x v="1354"/>
    <x v="6"/>
    <x v="3"/>
    <n v="41.4"/>
    <n v="289.8"/>
    <x v="51"/>
    <d v="2025-02-22T00:00:00"/>
    <x v="1"/>
    <x v="1"/>
    <x v="0"/>
    <x v="0"/>
    <x v="20"/>
    <x v="3"/>
    <x v="7"/>
    <x v="1"/>
  </r>
  <r>
    <x v="1355"/>
    <x v="11"/>
    <x v="8"/>
    <n v="34"/>
    <n v="272"/>
    <x v="51"/>
    <d v="2025-02-26T00:00:00"/>
    <x v="2"/>
    <x v="0"/>
    <x v="2"/>
    <x v="0"/>
    <x v="52"/>
    <x v="0"/>
    <x v="7"/>
    <x v="2"/>
  </r>
  <r>
    <x v="1356"/>
    <x v="6"/>
    <x v="0"/>
    <n v="66.3"/>
    <n v="66.3"/>
    <x v="51"/>
    <d v="2025-02-22T00:00:00"/>
    <x v="2"/>
    <x v="1"/>
    <x v="0"/>
    <x v="0"/>
    <x v="13"/>
    <x v="3"/>
    <x v="7"/>
    <x v="2"/>
  </r>
  <r>
    <x v="1357"/>
    <x v="7"/>
    <x v="0"/>
    <n v="33.5"/>
    <n v="33.5"/>
    <x v="51"/>
    <d v="2025-02-25T00:00:00"/>
    <x v="1"/>
    <x v="2"/>
    <x v="0"/>
    <x v="0"/>
    <x v="13"/>
    <x v="5"/>
    <x v="7"/>
    <x v="1"/>
  </r>
  <r>
    <x v="1358"/>
    <x v="12"/>
    <x v="1"/>
    <n v="70.8"/>
    <n v="141.6"/>
    <x v="51"/>
    <d v="2025-02-22T00:00:00"/>
    <x v="0"/>
    <x v="0"/>
    <x v="0"/>
    <x v="0"/>
    <x v="28"/>
    <x v="3"/>
    <x v="7"/>
    <x v="0"/>
  </r>
  <r>
    <x v="1359"/>
    <x v="6"/>
    <x v="1"/>
    <n v="127.6"/>
    <n v="255.2"/>
    <x v="51"/>
    <d v="2025-02-22T00:00:00"/>
    <x v="1"/>
    <x v="0"/>
    <x v="0"/>
    <x v="0"/>
    <x v="21"/>
    <x v="3"/>
    <x v="7"/>
    <x v="1"/>
  </r>
  <r>
    <x v="1360"/>
    <x v="6"/>
    <x v="2"/>
    <n v="95.9"/>
    <n v="287.70000000000005"/>
    <x v="51"/>
    <d v="2025-02-22T00:00:00"/>
    <x v="2"/>
    <x v="1"/>
    <x v="1"/>
    <x v="0"/>
    <x v="21"/>
    <x v="3"/>
    <x v="7"/>
    <x v="2"/>
  </r>
  <r>
    <x v="1361"/>
    <x v="2"/>
    <x v="1"/>
    <n v="78.099999999999994"/>
    <n v="156.19999999999999"/>
    <x v="51"/>
    <d v="2025-02-22T00:00:00"/>
    <x v="1"/>
    <x v="0"/>
    <x v="0"/>
    <x v="0"/>
    <x v="1"/>
    <x v="3"/>
    <x v="7"/>
    <x v="1"/>
  </r>
  <r>
    <x v="1362"/>
    <x v="13"/>
    <x v="1"/>
    <n v="43.2"/>
    <n v="86.4"/>
    <x v="51"/>
    <d v="2025-02-22T00:00:00"/>
    <x v="0"/>
    <x v="1"/>
    <x v="1"/>
    <x v="0"/>
    <x v="1"/>
    <x v="3"/>
    <x v="7"/>
    <x v="0"/>
  </r>
  <r>
    <x v="1363"/>
    <x v="8"/>
    <x v="12"/>
    <n v="28.4"/>
    <n v="113.6"/>
    <x v="51"/>
    <d v="2025-02-27T00:00:00"/>
    <x v="1"/>
    <x v="2"/>
    <x v="0"/>
    <x v="0"/>
    <x v="3"/>
    <x v="4"/>
    <x v="7"/>
    <x v="1"/>
  </r>
  <r>
    <x v="1364"/>
    <x v="2"/>
    <x v="1"/>
    <n v="81.7"/>
    <n v="163.4"/>
    <x v="51"/>
    <d v="2025-02-21T00:00:00"/>
    <x v="1"/>
    <x v="0"/>
    <x v="0"/>
    <x v="0"/>
    <x v="3"/>
    <x v="7"/>
    <x v="7"/>
    <x v="1"/>
  </r>
  <r>
    <x v="1365"/>
    <x v="18"/>
    <x v="1"/>
    <n v="56.7"/>
    <n v="113.4"/>
    <x v="51"/>
    <d v="2025-02-23T00:00:00"/>
    <x v="0"/>
    <x v="0"/>
    <x v="2"/>
    <x v="0"/>
    <x v="3"/>
    <x v="1"/>
    <x v="7"/>
    <x v="0"/>
  </r>
  <r>
    <x v="1366"/>
    <x v="3"/>
    <x v="12"/>
    <n v="66.5"/>
    <n v="266"/>
    <x v="51"/>
    <d v="2025-02-21T00:00:00"/>
    <x v="2"/>
    <x v="0"/>
    <x v="2"/>
    <x v="0"/>
    <x v="3"/>
    <x v="7"/>
    <x v="7"/>
    <x v="2"/>
  </r>
  <r>
    <x v="1367"/>
    <x v="1"/>
    <x v="1"/>
    <n v="105.3"/>
    <n v="210.6"/>
    <x v="51"/>
    <d v="2025-02-25T00:00:00"/>
    <x v="1"/>
    <x v="0"/>
    <x v="1"/>
    <x v="0"/>
    <x v="3"/>
    <x v="5"/>
    <x v="7"/>
    <x v="1"/>
  </r>
  <r>
    <x v="1368"/>
    <x v="10"/>
    <x v="9"/>
    <n v="33.799999999999997"/>
    <n v="169"/>
    <x v="51"/>
    <d v="2025-02-26T00:00:00"/>
    <x v="1"/>
    <x v="0"/>
    <x v="0"/>
    <x v="0"/>
    <x v="3"/>
    <x v="0"/>
    <x v="7"/>
    <x v="1"/>
  </r>
  <r>
    <x v="1369"/>
    <x v="6"/>
    <x v="2"/>
    <n v="63.4"/>
    <n v="190.2"/>
    <x v="51"/>
    <d v="2025-02-26T00:00:00"/>
    <x v="1"/>
    <x v="3"/>
    <x v="1"/>
    <x v="0"/>
    <x v="24"/>
    <x v="0"/>
    <x v="7"/>
    <x v="1"/>
  </r>
  <r>
    <x v="1370"/>
    <x v="6"/>
    <x v="2"/>
    <n v="49"/>
    <n v="147"/>
    <x v="51"/>
    <d v="2025-02-25T00:00:00"/>
    <x v="1"/>
    <x v="3"/>
    <x v="0"/>
    <x v="0"/>
    <x v="49"/>
    <x v="5"/>
    <x v="7"/>
    <x v="1"/>
  </r>
  <r>
    <x v="1371"/>
    <x v="1"/>
    <x v="1"/>
    <n v="40"/>
    <n v="80"/>
    <x v="51"/>
    <d v="2025-02-22T00:00:00"/>
    <x v="2"/>
    <x v="4"/>
    <x v="1"/>
    <x v="0"/>
    <x v="23"/>
    <x v="3"/>
    <x v="7"/>
    <x v="2"/>
  </r>
  <r>
    <x v="1372"/>
    <x v="6"/>
    <x v="12"/>
    <n v="86.3"/>
    <n v="345.2"/>
    <x v="51"/>
    <d v="2025-02-22T00:00:00"/>
    <x v="3"/>
    <x v="0"/>
    <x v="0"/>
    <x v="0"/>
    <x v="6"/>
    <x v="3"/>
    <x v="7"/>
    <x v="3"/>
  </r>
  <r>
    <x v="1373"/>
    <x v="6"/>
    <x v="0"/>
    <n v="51.6"/>
    <n v="51.6"/>
    <x v="51"/>
    <d v="2025-02-23T00:00:00"/>
    <x v="2"/>
    <x v="2"/>
    <x v="2"/>
    <x v="0"/>
    <x v="6"/>
    <x v="1"/>
    <x v="7"/>
    <x v="2"/>
  </r>
  <r>
    <x v="1374"/>
    <x v="10"/>
    <x v="2"/>
    <n v="26.7"/>
    <n v="80.099999999999994"/>
    <x v="51"/>
    <d v="2025-02-26T00:00:00"/>
    <x v="2"/>
    <x v="2"/>
    <x v="1"/>
    <x v="0"/>
    <x v="6"/>
    <x v="0"/>
    <x v="7"/>
    <x v="2"/>
  </r>
  <r>
    <x v="1375"/>
    <x v="18"/>
    <x v="1"/>
    <n v="68.099999999999994"/>
    <n v="136.19999999999999"/>
    <x v="51"/>
    <d v="2025-02-22T00:00:00"/>
    <x v="1"/>
    <x v="0"/>
    <x v="1"/>
    <x v="0"/>
    <x v="6"/>
    <x v="3"/>
    <x v="7"/>
    <x v="1"/>
  </r>
  <r>
    <x v="1376"/>
    <x v="1"/>
    <x v="0"/>
    <n v="81.7"/>
    <n v="81.7"/>
    <x v="51"/>
    <d v="2025-02-22T00:00:00"/>
    <x v="1"/>
    <x v="0"/>
    <x v="0"/>
    <x v="0"/>
    <x v="7"/>
    <x v="3"/>
    <x v="7"/>
    <x v="1"/>
  </r>
  <r>
    <x v="1377"/>
    <x v="18"/>
    <x v="7"/>
    <n v="25.1"/>
    <n v="251"/>
    <x v="51"/>
    <d v="2025-02-24T00:00:00"/>
    <x v="1"/>
    <x v="3"/>
    <x v="1"/>
    <x v="0"/>
    <x v="8"/>
    <x v="2"/>
    <x v="7"/>
    <x v="1"/>
  </r>
  <r>
    <x v="1378"/>
    <x v="8"/>
    <x v="0"/>
    <n v="20.2"/>
    <n v="20.2"/>
    <x v="51"/>
    <d v="2025-02-25T00:00:00"/>
    <x v="2"/>
    <x v="0"/>
    <x v="0"/>
    <x v="0"/>
    <x v="8"/>
    <x v="5"/>
    <x v="7"/>
    <x v="2"/>
  </r>
  <r>
    <x v="1379"/>
    <x v="8"/>
    <x v="2"/>
    <n v="15.4"/>
    <n v="46.2"/>
    <x v="51"/>
    <d v="2025-02-22T00:00:00"/>
    <x v="1"/>
    <x v="1"/>
    <x v="2"/>
    <x v="0"/>
    <x v="8"/>
    <x v="3"/>
    <x v="7"/>
    <x v="1"/>
  </r>
  <r>
    <x v="1380"/>
    <x v="10"/>
    <x v="0"/>
    <n v="59.2"/>
    <n v="59.2"/>
    <x v="51"/>
    <d v="2025-02-22T00:00:00"/>
    <x v="1"/>
    <x v="2"/>
    <x v="2"/>
    <x v="0"/>
    <x v="17"/>
    <x v="3"/>
    <x v="7"/>
    <x v="1"/>
  </r>
  <r>
    <x v="1381"/>
    <x v="0"/>
    <x v="0"/>
    <n v="46.7"/>
    <n v="46.7"/>
    <x v="51"/>
    <d v="2025-02-26T00:00:00"/>
    <x v="1"/>
    <x v="0"/>
    <x v="0"/>
    <x v="0"/>
    <x v="17"/>
    <x v="0"/>
    <x v="7"/>
    <x v="1"/>
  </r>
  <r>
    <x v="1382"/>
    <x v="6"/>
    <x v="20"/>
    <n v="41.6"/>
    <n v="624"/>
    <x v="51"/>
    <d v="2025-02-23T00:00:00"/>
    <x v="1"/>
    <x v="1"/>
    <x v="0"/>
    <x v="0"/>
    <x v="26"/>
    <x v="1"/>
    <x v="7"/>
    <x v="1"/>
  </r>
  <r>
    <x v="1383"/>
    <x v="8"/>
    <x v="1"/>
    <n v="19.2"/>
    <n v="38.4"/>
    <x v="51"/>
    <d v="2025-02-24T00:00:00"/>
    <x v="1"/>
    <x v="4"/>
    <x v="2"/>
    <x v="0"/>
    <x v="9"/>
    <x v="2"/>
    <x v="7"/>
    <x v="1"/>
  </r>
  <r>
    <x v="1384"/>
    <x v="17"/>
    <x v="3"/>
    <n v="41.8"/>
    <n v="292.59999999999997"/>
    <x v="51"/>
    <d v="2025-02-23T00:00:00"/>
    <x v="2"/>
    <x v="2"/>
    <x v="0"/>
    <x v="0"/>
    <x v="11"/>
    <x v="1"/>
    <x v="7"/>
    <x v="2"/>
  </r>
  <r>
    <x v="1385"/>
    <x v="8"/>
    <x v="13"/>
    <n v="37.4"/>
    <n v="224.39999999999998"/>
    <x v="51"/>
    <d v="2025-02-23T00:00:00"/>
    <x v="1"/>
    <x v="0"/>
    <x v="2"/>
    <x v="0"/>
    <x v="11"/>
    <x v="1"/>
    <x v="7"/>
    <x v="1"/>
  </r>
  <r>
    <x v="1386"/>
    <x v="10"/>
    <x v="2"/>
    <n v="60.2"/>
    <n v="180.60000000000002"/>
    <x v="51"/>
    <d v="2025-02-24T00:00:00"/>
    <x v="1"/>
    <x v="4"/>
    <x v="1"/>
    <x v="0"/>
    <x v="38"/>
    <x v="2"/>
    <x v="7"/>
    <x v="1"/>
  </r>
  <r>
    <x v="1387"/>
    <x v="9"/>
    <x v="1"/>
    <n v="91.5"/>
    <n v="183"/>
    <x v="52"/>
    <d v="2025-02-23T00:00:00"/>
    <x v="1"/>
    <x v="0"/>
    <x v="0"/>
    <x v="0"/>
    <x v="13"/>
    <x v="3"/>
    <x v="7"/>
    <x v="1"/>
  </r>
  <r>
    <x v="1388"/>
    <x v="3"/>
    <x v="9"/>
    <n v="55.7"/>
    <n v="278.5"/>
    <x v="52"/>
    <d v="2025-02-24T00:00:00"/>
    <x v="0"/>
    <x v="1"/>
    <x v="2"/>
    <x v="0"/>
    <x v="21"/>
    <x v="1"/>
    <x v="7"/>
    <x v="0"/>
  </r>
  <r>
    <x v="1389"/>
    <x v="7"/>
    <x v="1"/>
    <n v="76.7"/>
    <n v="153.4"/>
    <x v="52"/>
    <d v="2025-02-24T00:00:00"/>
    <x v="1"/>
    <x v="0"/>
    <x v="1"/>
    <x v="0"/>
    <x v="21"/>
    <x v="1"/>
    <x v="7"/>
    <x v="1"/>
  </r>
  <r>
    <x v="1390"/>
    <x v="8"/>
    <x v="38"/>
    <n v="28.2"/>
    <n v="592.19999999999993"/>
    <x v="52"/>
    <d v="2025-02-27T00:00:00"/>
    <x v="1"/>
    <x v="2"/>
    <x v="0"/>
    <x v="0"/>
    <x v="1"/>
    <x v="0"/>
    <x v="7"/>
    <x v="1"/>
  </r>
  <r>
    <x v="1391"/>
    <x v="7"/>
    <x v="9"/>
    <n v="93.2"/>
    <n v="466"/>
    <x v="52"/>
    <d v="2025-02-24T00:00:00"/>
    <x v="2"/>
    <x v="4"/>
    <x v="2"/>
    <x v="0"/>
    <x v="1"/>
    <x v="1"/>
    <x v="7"/>
    <x v="2"/>
  </r>
  <r>
    <x v="1392"/>
    <x v="17"/>
    <x v="0"/>
    <n v="33.299999999999997"/>
    <n v="33.299999999999997"/>
    <x v="52"/>
    <d v="2025-02-23T00:00:00"/>
    <x v="1"/>
    <x v="4"/>
    <x v="0"/>
    <x v="0"/>
    <x v="2"/>
    <x v="3"/>
    <x v="7"/>
    <x v="1"/>
  </r>
  <r>
    <x v="1393"/>
    <x v="10"/>
    <x v="1"/>
    <n v="39.1"/>
    <n v="78.2"/>
    <x v="52"/>
    <d v="2025-02-25T00:00:00"/>
    <x v="1"/>
    <x v="0"/>
    <x v="0"/>
    <x v="0"/>
    <x v="44"/>
    <x v="2"/>
    <x v="7"/>
    <x v="1"/>
  </r>
  <r>
    <x v="1394"/>
    <x v="7"/>
    <x v="4"/>
    <n v="45.3"/>
    <n v="543.59999999999991"/>
    <x v="52"/>
    <d v="2025-02-23T00:00:00"/>
    <x v="1"/>
    <x v="2"/>
    <x v="0"/>
    <x v="0"/>
    <x v="33"/>
    <x v="3"/>
    <x v="7"/>
    <x v="1"/>
  </r>
  <r>
    <x v="1395"/>
    <x v="9"/>
    <x v="3"/>
    <n v="33.9"/>
    <n v="237.29999999999998"/>
    <x v="52"/>
    <d v="2025-02-23T00:00:00"/>
    <x v="1"/>
    <x v="4"/>
    <x v="0"/>
    <x v="0"/>
    <x v="33"/>
    <x v="3"/>
    <x v="7"/>
    <x v="1"/>
  </r>
  <r>
    <x v="1396"/>
    <x v="8"/>
    <x v="2"/>
    <n v="19"/>
    <n v="57"/>
    <x v="52"/>
    <d v="2025-02-23T00:00:00"/>
    <x v="1"/>
    <x v="0"/>
    <x v="2"/>
    <x v="0"/>
    <x v="15"/>
    <x v="3"/>
    <x v="7"/>
    <x v="1"/>
  </r>
  <r>
    <x v="1397"/>
    <x v="4"/>
    <x v="0"/>
    <n v="41.9"/>
    <n v="41.9"/>
    <x v="52"/>
    <d v="2025-02-25T00:00:00"/>
    <x v="2"/>
    <x v="2"/>
    <x v="0"/>
    <x v="0"/>
    <x v="22"/>
    <x v="2"/>
    <x v="7"/>
    <x v="2"/>
  </r>
  <r>
    <x v="1398"/>
    <x v="1"/>
    <x v="12"/>
    <n v="37.5"/>
    <n v="150"/>
    <x v="52"/>
    <d v="2025-02-22T00:00:00"/>
    <x v="2"/>
    <x v="0"/>
    <x v="0"/>
    <x v="0"/>
    <x v="3"/>
    <x v="7"/>
    <x v="7"/>
    <x v="2"/>
  </r>
  <r>
    <x v="1399"/>
    <x v="0"/>
    <x v="1"/>
    <n v="40.799999999999997"/>
    <n v="81.599999999999994"/>
    <x v="52"/>
    <d v="2025-02-25T00:00:00"/>
    <x v="1"/>
    <x v="0"/>
    <x v="0"/>
    <x v="0"/>
    <x v="3"/>
    <x v="2"/>
    <x v="7"/>
    <x v="1"/>
  </r>
  <r>
    <x v="1400"/>
    <x v="0"/>
    <x v="12"/>
    <n v="23.1"/>
    <n v="92.4"/>
    <x v="52"/>
    <d v="2025-02-23T00:00:00"/>
    <x v="2"/>
    <x v="4"/>
    <x v="0"/>
    <x v="0"/>
    <x v="3"/>
    <x v="3"/>
    <x v="7"/>
    <x v="2"/>
  </r>
  <r>
    <x v="1401"/>
    <x v="8"/>
    <x v="9"/>
    <n v="39.299999999999997"/>
    <n v="196.5"/>
    <x v="52"/>
    <d v="2025-02-23T00:00:00"/>
    <x v="2"/>
    <x v="0"/>
    <x v="0"/>
    <x v="0"/>
    <x v="3"/>
    <x v="3"/>
    <x v="7"/>
    <x v="2"/>
  </r>
  <r>
    <x v="1402"/>
    <x v="2"/>
    <x v="12"/>
    <n v="85.2"/>
    <n v="340.8"/>
    <x v="52"/>
    <d v="2025-02-27T00:00:00"/>
    <x v="1"/>
    <x v="2"/>
    <x v="0"/>
    <x v="0"/>
    <x v="3"/>
    <x v="0"/>
    <x v="7"/>
    <x v="1"/>
  </r>
  <r>
    <x v="1403"/>
    <x v="8"/>
    <x v="13"/>
    <n v="16"/>
    <n v="96"/>
    <x v="52"/>
    <d v="2025-02-25T00:00:00"/>
    <x v="1"/>
    <x v="1"/>
    <x v="0"/>
    <x v="0"/>
    <x v="3"/>
    <x v="2"/>
    <x v="7"/>
    <x v="1"/>
  </r>
  <r>
    <x v="1404"/>
    <x v="1"/>
    <x v="1"/>
    <n v="33.799999999999997"/>
    <n v="67.599999999999994"/>
    <x v="52"/>
    <d v="2025-02-26T00:00:00"/>
    <x v="2"/>
    <x v="1"/>
    <x v="0"/>
    <x v="0"/>
    <x v="3"/>
    <x v="5"/>
    <x v="7"/>
    <x v="2"/>
  </r>
  <r>
    <x v="1405"/>
    <x v="3"/>
    <x v="0"/>
    <n v="70"/>
    <n v="70"/>
    <x v="52"/>
    <d v="2025-02-23T00:00:00"/>
    <x v="2"/>
    <x v="0"/>
    <x v="0"/>
    <x v="0"/>
    <x v="3"/>
    <x v="3"/>
    <x v="7"/>
    <x v="2"/>
  </r>
  <r>
    <x v="1406"/>
    <x v="9"/>
    <x v="0"/>
    <n v="88"/>
    <n v="88"/>
    <x v="52"/>
    <d v="2025-02-27T00:00:00"/>
    <x v="2"/>
    <x v="3"/>
    <x v="0"/>
    <x v="0"/>
    <x v="3"/>
    <x v="0"/>
    <x v="7"/>
    <x v="2"/>
  </r>
  <r>
    <x v="1407"/>
    <x v="2"/>
    <x v="2"/>
    <n v="74.099999999999994"/>
    <n v="222.29999999999998"/>
    <x v="52"/>
    <d v="2025-02-22T00:00:00"/>
    <x v="1"/>
    <x v="4"/>
    <x v="1"/>
    <x v="0"/>
    <x v="3"/>
    <x v="7"/>
    <x v="7"/>
    <x v="1"/>
  </r>
  <r>
    <x v="1408"/>
    <x v="2"/>
    <x v="0"/>
    <n v="161.9"/>
    <n v="161.9"/>
    <x v="52"/>
    <d v="2025-02-24T00:00:00"/>
    <x v="1"/>
    <x v="2"/>
    <x v="0"/>
    <x v="0"/>
    <x v="3"/>
    <x v="1"/>
    <x v="7"/>
    <x v="1"/>
  </r>
  <r>
    <x v="1409"/>
    <x v="4"/>
    <x v="1"/>
    <n v="44"/>
    <n v="88"/>
    <x v="52"/>
    <d v="2025-02-23T00:00:00"/>
    <x v="3"/>
    <x v="4"/>
    <x v="1"/>
    <x v="0"/>
    <x v="3"/>
    <x v="3"/>
    <x v="7"/>
    <x v="3"/>
  </r>
  <r>
    <x v="1410"/>
    <x v="11"/>
    <x v="0"/>
    <n v="32.1"/>
    <n v="32.1"/>
    <x v="52"/>
    <d v="2025-02-22T00:00:00"/>
    <x v="2"/>
    <x v="3"/>
    <x v="3"/>
    <x v="0"/>
    <x v="3"/>
    <x v="7"/>
    <x v="7"/>
    <x v="2"/>
  </r>
  <r>
    <x v="1411"/>
    <x v="2"/>
    <x v="12"/>
    <n v="104.8"/>
    <n v="419.2"/>
    <x v="53"/>
    <d v="2025-02-25T00:00:00"/>
    <x v="3"/>
    <x v="0"/>
    <x v="0"/>
    <x v="0"/>
    <x v="3"/>
    <x v="1"/>
    <x v="8"/>
    <x v="3"/>
  </r>
  <r>
    <x v="1412"/>
    <x v="9"/>
    <x v="13"/>
    <n v="67.400000000000006"/>
    <n v="404.40000000000003"/>
    <x v="53"/>
    <d v="2025-02-24T00:00:00"/>
    <x v="2"/>
    <x v="3"/>
    <x v="0"/>
    <x v="0"/>
    <x v="3"/>
    <x v="3"/>
    <x v="8"/>
    <x v="2"/>
  </r>
  <r>
    <x v="1413"/>
    <x v="6"/>
    <x v="1"/>
    <n v="115.2"/>
    <n v="230.4"/>
    <x v="53"/>
    <d v="2025-02-24T00:00:00"/>
    <x v="2"/>
    <x v="1"/>
    <x v="0"/>
    <x v="0"/>
    <x v="4"/>
    <x v="3"/>
    <x v="8"/>
    <x v="2"/>
  </r>
  <r>
    <x v="1414"/>
    <x v="8"/>
    <x v="19"/>
    <n v="15.5"/>
    <n v="449.5"/>
    <x v="53"/>
    <d v="2025-02-25T00:00:00"/>
    <x v="2"/>
    <x v="0"/>
    <x v="1"/>
    <x v="0"/>
    <x v="23"/>
    <x v="1"/>
    <x v="8"/>
    <x v="2"/>
  </r>
  <r>
    <x v="1415"/>
    <x v="6"/>
    <x v="5"/>
    <n v="66.400000000000006"/>
    <n v="730.40000000000009"/>
    <x v="53"/>
    <d v="2025-02-25T00:00:00"/>
    <x v="2"/>
    <x v="0"/>
    <x v="0"/>
    <x v="0"/>
    <x v="6"/>
    <x v="1"/>
    <x v="8"/>
    <x v="2"/>
  </r>
  <r>
    <x v="1416"/>
    <x v="9"/>
    <x v="4"/>
    <n v="68.099999999999994"/>
    <n v="817.19999999999993"/>
    <x v="53"/>
    <d v="2025-02-24T00:00:00"/>
    <x v="2"/>
    <x v="2"/>
    <x v="0"/>
    <x v="0"/>
    <x v="8"/>
    <x v="3"/>
    <x v="8"/>
    <x v="2"/>
  </r>
  <r>
    <x v="1417"/>
    <x v="8"/>
    <x v="9"/>
    <n v="32.5"/>
    <n v="162.5"/>
    <x v="53"/>
    <d v="2025-02-27T00:00:00"/>
    <x v="1"/>
    <x v="2"/>
    <x v="1"/>
    <x v="0"/>
    <x v="8"/>
    <x v="5"/>
    <x v="8"/>
    <x v="1"/>
  </r>
  <r>
    <x v="1418"/>
    <x v="15"/>
    <x v="2"/>
    <n v="61.2"/>
    <n v="183.60000000000002"/>
    <x v="53"/>
    <d v="2025-02-25T00:00:00"/>
    <x v="2"/>
    <x v="1"/>
    <x v="1"/>
    <x v="0"/>
    <x v="8"/>
    <x v="1"/>
    <x v="8"/>
    <x v="2"/>
  </r>
  <r>
    <x v="1419"/>
    <x v="9"/>
    <x v="1"/>
    <n v="54.2"/>
    <n v="108.4"/>
    <x v="53"/>
    <d v="2025-02-24T00:00:00"/>
    <x v="2"/>
    <x v="1"/>
    <x v="0"/>
    <x v="0"/>
    <x v="8"/>
    <x v="3"/>
    <x v="8"/>
    <x v="2"/>
  </r>
  <r>
    <x v="1420"/>
    <x v="11"/>
    <x v="8"/>
    <n v="28.7"/>
    <n v="229.6"/>
    <x v="53"/>
    <d v="2025-02-25T00:00:00"/>
    <x v="1"/>
    <x v="1"/>
    <x v="0"/>
    <x v="0"/>
    <x v="9"/>
    <x v="1"/>
    <x v="8"/>
    <x v="1"/>
  </r>
  <r>
    <x v="1421"/>
    <x v="12"/>
    <x v="13"/>
    <n v="38.200000000000003"/>
    <n v="229.20000000000002"/>
    <x v="53"/>
    <d v="2025-02-27T00:00:00"/>
    <x v="2"/>
    <x v="0"/>
    <x v="1"/>
    <x v="0"/>
    <x v="9"/>
    <x v="5"/>
    <x v="8"/>
    <x v="2"/>
  </r>
  <r>
    <x v="1422"/>
    <x v="8"/>
    <x v="4"/>
    <n v="17.600000000000001"/>
    <n v="211.20000000000002"/>
    <x v="53"/>
    <d v="2025-02-24T00:00:00"/>
    <x v="2"/>
    <x v="2"/>
    <x v="1"/>
    <x v="0"/>
    <x v="9"/>
    <x v="3"/>
    <x v="8"/>
    <x v="2"/>
  </r>
  <r>
    <x v="1423"/>
    <x v="10"/>
    <x v="2"/>
    <n v="74.599999999999994"/>
    <n v="223.79999999999998"/>
    <x v="53"/>
    <d v="2025-02-23T00:00:00"/>
    <x v="2"/>
    <x v="2"/>
    <x v="0"/>
    <x v="0"/>
    <x v="11"/>
    <x v="7"/>
    <x v="8"/>
    <x v="2"/>
  </r>
  <r>
    <x v="1424"/>
    <x v="16"/>
    <x v="20"/>
    <n v="72.599999999999994"/>
    <n v="1089"/>
    <x v="53"/>
    <d v="2025-02-23T00:00:00"/>
    <x v="0"/>
    <x v="1"/>
    <x v="1"/>
    <x v="0"/>
    <x v="11"/>
    <x v="7"/>
    <x v="8"/>
    <x v="0"/>
  </r>
  <r>
    <x v="1425"/>
    <x v="7"/>
    <x v="0"/>
    <n v="62.3"/>
    <n v="62.3"/>
    <x v="53"/>
    <d v="2025-02-24T00:00:00"/>
    <x v="2"/>
    <x v="1"/>
    <x v="0"/>
    <x v="0"/>
    <x v="11"/>
    <x v="3"/>
    <x v="8"/>
    <x v="2"/>
  </r>
  <r>
    <x v="1426"/>
    <x v="3"/>
    <x v="2"/>
    <n v="33.799999999999997"/>
    <n v="101.39999999999999"/>
    <x v="53"/>
    <d v="2025-02-25T00:00:00"/>
    <x v="1"/>
    <x v="0"/>
    <x v="2"/>
    <x v="0"/>
    <x v="20"/>
    <x v="1"/>
    <x v="8"/>
    <x v="1"/>
  </r>
  <r>
    <x v="1427"/>
    <x v="9"/>
    <x v="0"/>
    <n v="85.7"/>
    <n v="85.7"/>
    <x v="53"/>
    <d v="2025-02-26T00:00:00"/>
    <x v="1"/>
    <x v="3"/>
    <x v="1"/>
    <x v="0"/>
    <x v="21"/>
    <x v="2"/>
    <x v="8"/>
    <x v="1"/>
  </r>
  <r>
    <x v="1428"/>
    <x v="6"/>
    <x v="1"/>
    <n v="92.1"/>
    <n v="184.2"/>
    <x v="53"/>
    <d v="2025-02-25T00:00:00"/>
    <x v="1"/>
    <x v="1"/>
    <x v="0"/>
    <x v="0"/>
    <x v="21"/>
    <x v="1"/>
    <x v="8"/>
    <x v="1"/>
  </r>
  <r>
    <x v="1429"/>
    <x v="16"/>
    <x v="2"/>
    <n v="65.099999999999994"/>
    <n v="195.29999999999998"/>
    <x v="53"/>
    <d v="2025-02-26T00:00:00"/>
    <x v="1"/>
    <x v="0"/>
    <x v="0"/>
    <x v="0"/>
    <x v="1"/>
    <x v="2"/>
    <x v="8"/>
    <x v="1"/>
  </r>
  <r>
    <x v="1430"/>
    <x v="9"/>
    <x v="3"/>
    <n v="20.3"/>
    <n v="142.1"/>
    <x v="53"/>
    <d v="2025-02-24T00:00:00"/>
    <x v="2"/>
    <x v="2"/>
    <x v="2"/>
    <x v="0"/>
    <x v="2"/>
    <x v="3"/>
    <x v="8"/>
    <x v="2"/>
  </r>
  <r>
    <x v="1431"/>
    <x v="19"/>
    <x v="1"/>
    <n v="29.8"/>
    <n v="59.6"/>
    <x v="53"/>
    <d v="2025-02-25T00:00:00"/>
    <x v="2"/>
    <x v="1"/>
    <x v="2"/>
    <x v="0"/>
    <x v="34"/>
    <x v="1"/>
    <x v="8"/>
    <x v="2"/>
  </r>
  <r>
    <x v="1432"/>
    <x v="0"/>
    <x v="1"/>
    <n v="24.2"/>
    <n v="48.4"/>
    <x v="53"/>
    <d v="2025-02-25T00:00:00"/>
    <x v="2"/>
    <x v="3"/>
    <x v="2"/>
    <x v="0"/>
    <x v="3"/>
    <x v="1"/>
    <x v="8"/>
    <x v="2"/>
  </r>
  <r>
    <x v="1433"/>
    <x v="3"/>
    <x v="0"/>
    <n v="57.3"/>
    <n v="57.3"/>
    <x v="53"/>
    <d v="2025-02-25T00:00:00"/>
    <x v="1"/>
    <x v="0"/>
    <x v="0"/>
    <x v="0"/>
    <x v="3"/>
    <x v="1"/>
    <x v="8"/>
    <x v="1"/>
  </r>
  <r>
    <x v="1434"/>
    <x v="2"/>
    <x v="0"/>
    <n v="108.9"/>
    <n v="108.9"/>
    <x v="53"/>
    <d v="2025-02-25T00:00:00"/>
    <x v="2"/>
    <x v="1"/>
    <x v="0"/>
    <x v="0"/>
    <x v="3"/>
    <x v="1"/>
    <x v="8"/>
    <x v="2"/>
  </r>
  <r>
    <x v="1435"/>
    <x v="7"/>
    <x v="9"/>
    <n v="50.7"/>
    <n v="253.5"/>
    <x v="53"/>
    <d v="2025-02-24T00:00:00"/>
    <x v="2"/>
    <x v="0"/>
    <x v="0"/>
    <x v="0"/>
    <x v="3"/>
    <x v="3"/>
    <x v="8"/>
    <x v="2"/>
  </r>
  <r>
    <x v="1436"/>
    <x v="7"/>
    <x v="11"/>
    <n v="66.099999999999994"/>
    <n v="594.9"/>
    <x v="53"/>
    <d v="2025-03-09T00:00:00"/>
    <x v="2"/>
    <x v="1"/>
    <x v="0"/>
    <x v="0"/>
    <x v="3"/>
    <x v="12"/>
    <x v="8"/>
    <x v="2"/>
  </r>
  <r>
    <x v="1437"/>
    <x v="12"/>
    <x v="9"/>
    <n v="36.700000000000003"/>
    <n v="183.5"/>
    <x v="53"/>
    <d v="2025-02-27T00:00:00"/>
    <x v="2"/>
    <x v="4"/>
    <x v="0"/>
    <x v="0"/>
    <x v="3"/>
    <x v="5"/>
    <x v="8"/>
    <x v="2"/>
  </r>
  <r>
    <x v="1438"/>
    <x v="8"/>
    <x v="14"/>
    <n v="19.3"/>
    <n v="328.1"/>
    <x v="53"/>
    <d v="2025-02-25T00:00:00"/>
    <x v="1"/>
    <x v="0"/>
    <x v="0"/>
    <x v="0"/>
    <x v="43"/>
    <x v="1"/>
    <x v="8"/>
    <x v="1"/>
  </r>
  <r>
    <x v="1439"/>
    <x v="8"/>
    <x v="12"/>
    <n v="20.7"/>
    <n v="82.8"/>
    <x v="53"/>
    <d v="2025-02-24T00:00:00"/>
    <x v="1"/>
    <x v="1"/>
    <x v="2"/>
    <x v="0"/>
    <x v="6"/>
    <x v="3"/>
    <x v="8"/>
    <x v="1"/>
  </r>
  <r>
    <x v="1440"/>
    <x v="5"/>
    <x v="2"/>
    <n v="54.7"/>
    <n v="164.10000000000002"/>
    <x v="53"/>
    <d v="2025-02-23T00:00:00"/>
    <x v="3"/>
    <x v="1"/>
    <x v="4"/>
    <x v="0"/>
    <x v="6"/>
    <x v="7"/>
    <x v="8"/>
    <x v="3"/>
  </r>
  <r>
    <x v="1441"/>
    <x v="4"/>
    <x v="1"/>
    <n v="19.8"/>
    <n v="39.6"/>
    <x v="53"/>
    <d v="2025-02-27T00:00:00"/>
    <x v="2"/>
    <x v="4"/>
    <x v="1"/>
    <x v="0"/>
    <x v="8"/>
    <x v="5"/>
    <x v="8"/>
    <x v="2"/>
  </r>
  <r>
    <x v="1442"/>
    <x v="7"/>
    <x v="0"/>
    <n v="41.1"/>
    <n v="41.1"/>
    <x v="53"/>
    <d v="2025-02-25T00:00:00"/>
    <x v="2"/>
    <x v="0"/>
    <x v="2"/>
    <x v="0"/>
    <x v="8"/>
    <x v="1"/>
    <x v="8"/>
    <x v="2"/>
  </r>
  <r>
    <x v="1443"/>
    <x v="11"/>
    <x v="8"/>
    <n v="43.5"/>
    <n v="348"/>
    <x v="53"/>
    <d v="2025-02-27T00:00:00"/>
    <x v="2"/>
    <x v="3"/>
    <x v="0"/>
    <x v="0"/>
    <x v="8"/>
    <x v="5"/>
    <x v="8"/>
    <x v="2"/>
  </r>
  <r>
    <x v="1444"/>
    <x v="8"/>
    <x v="21"/>
    <n v="19"/>
    <n v="266"/>
    <x v="53"/>
    <d v="2025-02-24T00:00:00"/>
    <x v="1"/>
    <x v="0"/>
    <x v="0"/>
    <x v="0"/>
    <x v="26"/>
    <x v="3"/>
    <x v="8"/>
    <x v="1"/>
  </r>
  <r>
    <x v="1445"/>
    <x v="2"/>
    <x v="12"/>
    <n v="51.4"/>
    <n v="205.6"/>
    <x v="53"/>
    <d v="2025-02-23T00:00:00"/>
    <x v="2"/>
    <x v="0"/>
    <x v="0"/>
    <x v="0"/>
    <x v="26"/>
    <x v="7"/>
    <x v="8"/>
    <x v="2"/>
  </r>
  <r>
    <x v="1446"/>
    <x v="10"/>
    <x v="1"/>
    <n v="39.799999999999997"/>
    <n v="79.599999999999994"/>
    <x v="53"/>
    <d v="2025-02-26T00:00:00"/>
    <x v="1"/>
    <x v="3"/>
    <x v="1"/>
    <x v="0"/>
    <x v="13"/>
    <x v="2"/>
    <x v="8"/>
    <x v="1"/>
  </r>
  <r>
    <x v="1447"/>
    <x v="6"/>
    <x v="9"/>
    <n v="61"/>
    <n v="305"/>
    <x v="53"/>
    <d v="2025-02-24T00:00:00"/>
    <x v="0"/>
    <x v="0"/>
    <x v="2"/>
    <x v="0"/>
    <x v="21"/>
    <x v="3"/>
    <x v="8"/>
    <x v="0"/>
  </r>
  <r>
    <x v="1448"/>
    <x v="8"/>
    <x v="5"/>
    <n v="15.1"/>
    <n v="166.1"/>
    <x v="54"/>
    <d v="2025-03-01T00:00:00"/>
    <x v="1"/>
    <x v="3"/>
    <x v="2"/>
    <x v="0"/>
    <x v="2"/>
    <x v="0"/>
    <x v="8"/>
    <x v="1"/>
  </r>
  <r>
    <x v="1449"/>
    <x v="1"/>
    <x v="3"/>
    <n v="71.3"/>
    <n v="499.09999999999997"/>
    <x v="54"/>
    <d v="2025-02-25T00:00:00"/>
    <x v="1"/>
    <x v="4"/>
    <x v="0"/>
    <x v="0"/>
    <x v="3"/>
    <x v="3"/>
    <x v="8"/>
    <x v="1"/>
  </r>
  <r>
    <x v="1450"/>
    <x v="10"/>
    <x v="0"/>
    <n v="25.8"/>
    <n v="25.8"/>
    <x v="54"/>
    <d v="2025-02-26T00:00:00"/>
    <x v="2"/>
    <x v="0"/>
    <x v="2"/>
    <x v="0"/>
    <x v="3"/>
    <x v="1"/>
    <x v="8"/>
    <x v="2"/>
  </r>
  <r>
    <x v="1451"/>
    <x v="8"/>
    <x v="9"/>
    <n v="39.6"/>
    <n v="198"/>
    <x v="54"/>
    <d v="2025-02-26T00:00:00"/>
    <x v="1"/>
    <x v="1"/>
    <x v="2"/>
    <x v="0"/>
    <x v="3"/>
    <x v="1"/>
    <x v="8"/>
    <x v="1"/>
  </r>
  <r>
    <x v="1452"/>
    <x v="5"/>
    <x v="1"/>
    <n v="64"/>
    <n v="128"/>
    <x v="54"/>
    <d v="2025-02-24T00:00:00"/>
    <x v="1"/>
    <x v="1"/>
    <x v="1"/>
    <x v="0"/>
    <x v="3"/>
    <x v="7"/>
    <x v="8"/>
    <x v="1"/>
  </r>
  <r>
    <x v="1453"/>
    <x v="8"/>
    <x v="1"/>
    <n v="30.6"/>
    <n v="61.2"/>
    <x v="54"/>
    <d v="2025-02-27T00:00:00"/>
    <x v="1"/>
    <x v="0"/>
    <x v="2"/>
    <x v="0"/>
    <x v="3"/>
    <x v="2"/>
    <x v="8"/>
    <x v="1"/>
  </r>
  <r>
    <x v="1454"/>
    <x v="8"/>
    <x v="1"/>
    <n v="21.3"/>
    <n v="42.6"/>
    <x v="54"/>
    <d v="2025-02-25T00:00:00"/>
    <x v="1"/>
    <x v="0"/>
    <x v="1"/>
    <x v="0"/>
    <x v="3"/>
    <x v="3"/>
    <x v="8"/>
    <x v="1"/>
  </r>
  <r>
    <x v="1455"/>
    <x v="7"/>
    <x v="0"/>
    <n v="40.799999999999997"/>
    <n v="40.799999999999997"/>
    <x v="54"/>
    <d v="2025-02-26T00:00:00"/>
    <x v="2"/>
    <x v="4"/>
    <x v="0"/>
    <x v="0"/>
    <x v="3"/>
    <x v="1"/>
    <x v="8"/>
    <x v="2"/>
  </r>
  <r>
    <x v="1456"/>
    <x v="9"/>
    <x v="12"/>
    <n v="27.7"/>
    <n v="110.8"/>
    <x v="54"/>
    <d v="2025-02-25T00:00:00"/>
    <x v="2"/>
    <x v="0"/>
    <x v="1"/>
    <x v="0"/>
    <x v="3"/>
    <x v="3"/>
    <x v="8"/>
    <x v="2"/>
  </r>
  <r>
    <x v="1457"/>
    <x v="6"/>
    <x v="1"/>
    <n v="64.599999999999994"/>
    <n v="129.19999999999999"/>
    <x v="54"/>
    <d v="2025-02-25T00:00:00"/>
    <x v="1"/>
    <x v="0"/>
    <x v="1"/>
    <x v="0"/>
    <x v="3"/>
    <x v="3"/>
    <x v="8"/>
    <x v="1"/>
  </r>
  <r>
    <x v="1458"/>
    <x v="6"/>
    <x v="27"/>
    <n v="91.1"/>
    <n v="1457.6"/>
    <x v="54"/>
    <d v="2025-02-25T00:00:00"/>
    <x v="2"/>
    <x v="1"/>
    <x v="2"/>
    <x v="0"/>
    <x v="3"/>
    <x v="3"/>
    <x v="8"/>
    <x v="2"/>
  </r>
  <r>
    <x v="1459"/>
    <x v="1"/>
    <x v="0"/>
    <n v="39.5"/>
    <n v="39.5"/>
    <x v="54"/>
    <d v="2025-03-04T00:00:00"/>
    <x v="2"/>
    <x v="0"/>
    <x v="0"/>
    <x v="0"/>
    <x v="3"/>
    <x v="9"/>
    <x v="8"/>
    <x v="2"/>
  </r>
  <r>
    <x v="1460"/>
    <x v="9"/>
    <x v="1"/>
    <n v="21.8"/>
    <n v="43.6"/>
    <x v="54"/>
    <d v="2025-02-28T00:00:00"/>
    <x v="1"/>
    <x v="4"/>
    <x v="2"/>
    <x v="0"/>
    <x v="3"/>
    <x v="5"/>
    <x v="8"/>
    <x v="1"/>
  </r>
  <r>
    <x v="1461"/>
    <x v="8"/>
    <x v="1"/>
    <n v="51"/>
    <n v="102"/>
    <x v="54"/>
    <d v="2025-02-27T00:00:00"/>
    <x v="1"/>
    <x v="3"/>
    <x v="2"/>
    <x v="0"/>
    <x v="3"/>
    <x v="2"/>
    <x v="8"/>
    <x v="1"/>
  </r>
  <r>
    <x v="1462"/>
    <x v="2"/>
    <x v="0"/>
    <n v="92.6"/>
    <n v="92.6"/>
    <x v="54"/>
    <d v="2025-02-27T00:00:00"/>
    <x v="2"/>
    <x v="0"/>
    <x v="2"/>
    <x v="0"/>
    <x v="35"/>
    <x v="2"/>
    <x v="8"/>
    <x v="2"/>
  </r>
  <r>
    <x v="1463"/>
    <x v="9"/>
    <x v="1"/>
    <n v="31.1"/>
    <n v="62.2"/>
    <x v="54"/>
    <d v="2025-03-01T00:00:00"/>
    <x v="0"/>
    <x v="1"/>
    <x v="3"/>
    <x v="0"/>
    <x v="23"/>
    <x v="0"/>
    <x v="8"/>
    <x v="0"/>
  </r>
  <r>
    <x v="1464"/>
    <x v="5"/>
    <x v="2"/>
    <n v="56.4"/>
    <n v="169.2"/>
    <x v="54"/>
    <d v="2025-02-25T00:00:00"/>
    <x v="0"/>
    <x v="1"/>
    <x v="0"/>
    <x v="0"/>
    <x v="6"/>
    <x v="3"/>
    <x v="8"/>
    <x v="0"/>
  </r>
  <r>
    <x v="1465"/>
    <x v="9"/>
    <x v="0"/>
    <n v="41.9"/>
    <n v="41.9"/>
    <x v="54"/>
    <d v="2025-02-24T00:00:00"/>
    <x v="1"/>
    <x v="1"/>
    <x v="0"/>
    <x v="0"/>
    <x v="6"/>
    <x v="7"/>
    <x v="8"/>
    <x v="1"/>
  </r>
  <r>
    <x v="1466"/>
    <x v="10"/>
    <x v="3"/>
    <n v="45.9"/>
    <n v="321.3"/>
    <x v="54"/>
    <d v="2025-02-25T00:00:00"/>
    <x v="1"/>
    <x v="3"/>
    <x v="2"/>
    <x v="0"/>
    <x v="8"/>
    <x v="3"/>
    <x v="8"/>
    <x v="1"/>
  </r>
  <r>
    <x v="1467"/>
    <x v="14"/>
    <x v="11"/>
    <n v="24.4"/>
    <n v="219.6"/>
    <x v="54"/>
    <d v="2025-02-28T00:00:00"/>
    <x v="1"/>
    <x v="3"/>
    <x v="2"/>
    <x v="0"/>
    <x v="8"/>
    <x v="5"/>
    <x v="8"/>
    <x v="1"/>
  </r>
  <r>
    <x v="1468"/>
    <x v="8"/>
    <x v="0"/>
    <n v="18.2"/>
    <n v="18.2"/>
    <x v="54"/>
    <d v="2025-02-25T00:00:00"/>
    <x v="2"/>
    <x v="2"/>
    <x v="2"/>
    <x v="0"/>
    <x v="8"/>
    <x v="3"/>
    <x v="8"/>
    <x v="2"/>
  </r>
  <r>
    <x v="1469"/>
    <x v="8"/>
    <x v="12"/>
    <n v="51.2"/>
    <n v="204.8"/>
    <x v="54"/>
    <d v="2025-02-25T00:00:00"/>
    <x v="2"/>
    <x v="0"/>
    <x v="0"/>
    <x v="0"/>
    <x v="8"/>
    <x v="3"/>
    <x v="8"/>
    <x v="2"/>
  </r>
  <r>
    <x v="1470"/>
    <x v="6"/>
    <x v="0"/>
    <n v="59.7"/>
    <n v="59.7"/>
    <x v="54"/>
    <d v="2025-02-27T00:00:00"/>
    <x v="1"/>
    <x v="0"/>
    <x v="2"/>
    <x v="0"/>
    <x v="8"/>
    <x v="2"/>
    <x v="8"/>
    <x v="1"/>
  </r>
  <r>
    <x v="1471"/>
    <x v="4"/>
    <x v="1"/>
    <n v="33.6"/>
    <n v="67.2"/>
    <x v="54"/>
    <d v="2025-02-26T00:00:00"/>
    <x v="2"/>
    <x v="0"/>
    <x v="0"/>
    <x v="0"/>
    <x v="17"/>
    <x v="1"/>
    <x v="8"/>
    <x v="2"/>
  </r>
  <r>
    <x v="1472"/>
    <x v="12"/>
    <x v="0"/>
    <n v="90.4"/>
    <n v="90.4"/>
    <x v="54"/>
    <d v="2025-02-28T00:00:00"/>
    <x v="1"/>
    <x v="1"/>
    <x v="2"/>
    <x v="0"/>
    <x v="10"/>
    <x v="5"/>
    <x v="8"/>
    <x v="1"/>
  </r>
  <r>
    <x v="1473"/>
    <x v="11"/>
    <x v="2"/>
    <n v="70.3"/>
    <n v="210.89999999999998"/>
    <x v="54"/>
    <d v="2025-02-24T00:00:00"/>
    <x v="1"/>
    <x v="1"/>
    <x v="2"/>
    <x v="0"/>
    <x v="11"/>
    <x v="7"/>
    <x v="8"/>
    <x v="1"/>
  </r>
  <r>
    <x v="1474"/>
    <x v="4"/>
    <x v="1"/>
    <n v="20.5"/>
    <n v="41"/>
    <x v="54"/>
    <d v="2025-02-27T00:00:00"/>
    <x v="2"/>
    <x v="0"/>
    <x v="1"/>
    <x v="0"/>
    <x v="11"/>
    <x v="2"/>
    <x v="8"/>
    <x v="2"/>
  </r>
  <r>
    <x v="1475"/>
    <x v="5"/>
    <x v="5"/>
    <n v="37.6"/>
    <n v="413.6"/>
    <x v="54"/>
    <d v="2025-02-25T00:00:00"/>
    <x v="1"/>
    <x v="0"/>
    <x v="0"/>
    <x v="0"/>
    <x v="38"/>
    <x v="3"/>
    <x v="8"/>
    <x v="1"/>
  </r>
  <r>
    <x v="1476"/>
    <x v="5"/>
    <x v="12"/>
    <n v="61.5"/>
    <n v="246"/>
    <x v="54"/>
    <d v="2025-03-03T00:00:00"/>
    <x v="2"/>
    <x v="1"/>
    <x v="4"/>
    <x v="0"/>
    <x v="13"/>
    <x v="6"/>
    <x v="8"/>
    <x v="2"/>
  </r>
  <r>
    <x v="1477"/>
    <x v="9"/>
    <x v="0"/>
    <n v="33.5"/>
    <n v="33.5"/>
    <x v="55"/>
    <d v="2025-03-01T00:00:00"/>
    <x v="1"/>
    <x v="4"/>
    <x v="1"/>
    <x v="0"/>
    <x v="21"/>
    <x v="5"/>
    <x v="8"/>
    <x v="1"/>
  </r>
  <r>
    <x v="1478"/>
    <x v="4"/>
    <x v="2"/>
    <n v="29.3"/>
    <n v="87.9"/>
    <x v="55"/>
    <d v="2025-02-27T00:00:00"/>
    <x v="2"/>
    <x v="1"/>
    <x v="2"/>
    <x v="0"/>
    <x v="1"/>
    <x v="1"/>
    <x v="8"/>
    <x v="2"/>
  </r>
  <r>
    <x v="1479"/>
    <x v="2"/>
    <x v="1"/>
    <n v="125.9"/>
    <n v="251.8"/>
    <x v="55"/>
    <d v="2025-03-02T00:00:00"/>
    <x v="2"/>
    <x v="4"/>
    <x v="1"/>
    <x v="0"/>
    <x v="1"/>
    <x v="0"/>
    <x v="8"/>
    <x v="2"/>
  </r>
  <r>
    <x v="1480"/>
    <x v="5"/>
    <x v="9"/>
    <n v="29.3"/>
    <n v="146.5"/>
    <x v="55"/>
    <d v="2025-02-25T00:00:00"/>
    <x v="1"/>
    <x v="2"/>
    <x v="0"/>
    <x v="0"/>
    <x v="44"/>
    <x v="7"/>
    <x v="8"/>
    <x v="1"/>
  </r>
  <r>
    <x v="1481"/>
    <x v="9"/>
    <x v="0"/>
    <n v="37.799999999999997"/>
    <n v="37.799999999999997"/>
    <x v="55"/>
    <d v="2025-02-28T00:00:00"/>
    <x v="2"/>
    <x v="0"/>
    <x v="2"/>
    <x v="0"/>
    <x v="3"/>
    <x v="2"/>
    <x v="8"/>
    <x v="2"/>
  </r>
  <r>
    <x v="1482"/>
    <x v="0"/>
    <x v="12"/>
    <n v="31.7"/>
    <n v="126.8"/>
    <x v="55"/>
    <d v="2025-02-26T00:00:00"/>
    <x v="1"/>
    <x v="2"/>
    <x v="2"/>
    <x v="0"/>
    <x v="3"/>
    <x v="3"/>
    <x v="8"/>
    <x v="1"/>
  </r>
  <r>
    <x v="1483"/>
    <x v="8"/>
    <x v="9"/>
    <n v="26.3"/>
    <n v="131.5"/>
    <x v="55"/>
    <d v="2025-02-26T00:00:00"/>
    <x v="2"/>
    <x v="3"/>
    <x v="2"/>
    <x v="0"/>
    <x v="3"/>
    <x v="3"/>
    <x v="8"/>
    <x v="2"/>
  </r>
  <r>
    <x v="1484"/>
    <x v="8"/>
    <x v="2"/>
    <n v="23.1"/>
    <n v="69.300000000000011"/>
    <x v="55"/>
    <d v="2025-02-26T00:00:00"/>
    <x v="3"/>
    <x v="2"/>
    <x v="1"/>
    <x v="0"/>
    <x v="3"/>
    <x v="3"/>
    <x v="8"/>
    <x v="3"/>
  </r>
  <r>
    <x v="1485"/>
    <x v="4"/>
    <x v="0"/>
    <n v="22.3"/>
    <n v="22.3"/>
    <x v="55"/>
    <d v="2025-02-27T00:00:00"/>
    <x v="2"/>
    <x v="2"/>
    <x v="0"/>
    <x v="0"/>
    <x v="3"/>
    <x v="1"/>
    <x v="8"/>
    <x v="2"/>
  </r>
  <r>
    <x v="1486"/>
    <x v="12"/>
    <x v="1"/>
    <n v="99.5"/>
    <n v="199"/>
    <x v="55"/>
    <d v="2025-02-27T00:00:00"/>
    <x v="2"/>
    <x v="2"/>
    <x v="0"/>
    <x v="0"/>
    <x v="3"/>
    <x v="1"/>
    <x v="8"/>
    <x v="2"/>
  </r>
  <r>
    <x v="1487"/>
    <x v="12"/>
    <x v="12"/>
    <n v="47.4"/>
    <n v="189.6"/>
    <x v="55"/>
    <d v="2025-02-28T00:00:00"/>
    <x v="2"/>
    <x v="1"/>
    <x v="0"/>
    <x v="0"/>
    <x v="3"/>
    <x v="2"/>
    <x v="8"/>
    <x v="2"/>
  </r>
  <r>
    <x v="1488"/>
    <x v="0"/>
    <x v="5"/>
    <n v="37.5"/>
    <n v="412.5"/>
    <x v="55"/>
    <d v="2025-02-27T00:00:00"/>
    <x v="2"/>
    <x v="0"/>
    <x v="3"/>
    <x v="0"/>
    <x v="3"/>
    <x v="1"/>
    <x v="8"/>
    <x v="2"/>
  </r>
  <r>
    <x v="1489"/>
    <x v="10"/>
    <x v="0"/>
    <n v="45.1"/>
    <n v="45.1"/>
    <x v="55"/>
    <d v="2025-03-02T00:00:00"/>
    <x v="1"/>
    <x v="3"/>
    <x v="2"/>
    <x v="0"/>
    <x v="24"/>
    <x v="0"/>
    <x v="8"/>
    <x v="1"/>
  </r>
  <r>
    <x v="1490"/>
    <x v="5"/>
    <x v="7"/>
    <n v="34.4"/>
    <n v="344"/>
    <x v="55"/>
    <d v="2025-02-28T00:00:00"/>
    <x v="1"/>
    <x v="2"/>
    <x v="0"/>
    <x v="0"/>
    <x v="16"/>
    <x v="2"/>
    <x v="8"/>
    <x v="1"/>
  </r>
  <r>
    <x v="1491"/>
    <x v="4"/>
    <x v="1"/>
    <n v="38"/>
    <n v="76"/>
    <x v="55"/>
    <d v="2025-02-27T00:00:00"/>
    <x v="2"/>
    <x v="1"/>
    <x v="0"/>
    <x v="0"/>
    <x v="5"/>
    <x v="1"/>
    <x v="8"/>
    <x v="2"/>
  </r>
  <r>
    <x v="1492"/>
    <x v="3"/>
    <x v="21"/>
    <n v="32.4"/>
    <n v="453.59999999999997"/>
    <x v="55"/>
    <d v="2025-02-28T00:00:00"/>
    <x v="1"/>
    <x v="4"/>
    <x v="0"/>
    <x v="0"/>
    <x v="6"/>
    <x v="2"/>
    <x v="8"/>
    <x v="1"/>
  </r>
  <r>
    <x v="1493"/>
    <x v="6"/>
    <x v="2"/>
    <n v="40.9"/>
    <n v="122.69999999999999"/>
    <x v="55"/>
    <d v="2025-02-25T00:00:00"/>
    <x v="0"/>
    <x v="1"/>
    <x v="0"/>
    <x v="0"/>
    <x v="8"/>
    <x v="7"/>
    <x v="8"/>
    <x v="0"/>
  </r>
  <r>
    <x v="1494"/>
    <x v="7"/>
    <x v="3"/>
    <n v="76.2"/>
    <n v="533.4"/>
    <x v="55"/>
    <d v="2025-02-27T00:00:00"/>
    <x v="2"/>
    <x v="2"/>
    <x v="1"/>
    <x v="0"/>
    <x v="8"/>
    <x v="1"/>
    <x v="8"/>
    <x v="2"/>
  </r>
  <r>
    <x v="1495"/>
    <x v="2"/>
    <x v="0"/>
    <n v="85.6"/>
    <n v="85.6"/>
    <x v="55"/>
    <d v="2025-02-27T00:00:00"/>
    <x v="1"/>
    <x v="2"/>
    <x v="0"/>
    <x v="0"/>
    <x v="8"/>
    <x v="1"/>
    <x v="8"/>
    <x v="1"/>
  </r>
  <r>
    <x v="1496"/>
    <x v="4"/>
    <x v="12"/>
    <n v="25"/>
    <n v="100"/>
    <x v="55"/>
    <d v="2025-02-27T00:00:00"/>
    <x v="2"/>
    <x v="2"/>
    <x v="2"/>
    <x v="0"/>
    <x v="8"/>
    <x v="1"/>
    <x v="8"/>
    <x v="2"/>
  </r>
  <r>
    <x v="1497"/>
    <x v="2"/>
    <x v="9"/>
    <n v="150.69999999999999"/>
    <n v="753.5"/>
    <x v="55"/>
    <d v="2025-02-26T00:00:00"/>
    <x v="0"/>
    <x v="0"/>
    <x v="2"/>
    <x v="0"/>
    <x v="8"/>
    <x v="3"/>
    <x v="8"/>
    <x v="0"/>
  </r>
  <r>
    <x v="1498"/>
    <x v="8"/>
    <x v="0"/>
    <n v="19.600000000000001"/>
    <n v="19.600000000000001"/>
    <x v="55"/>
    <d v="2025-02-26T00:00:00"/>
    <x v="1"/>
    <x v="1"/>
    <x v="4"/>
    <x v="0"/>
    <x v="8"/>
    <x v="3"/>
    <x v="8"/>
    <x v="1"/>
  </r>
  <r>
    <x v="1499"/>
    <x v="13"/>
    <x v="1"/>
    <n v="37.5"/>
    <n v="75"/>
    <x v="55"/>
    <d v="2025-02-28T00:00:00"/>
    <x v="2"/>
    <x v="1"/>
    <x v="2"/>
    <x v="0"/>
    <x v="17"/>
    <x v="2"/>
    <x v="8"/>
    <x v="2"/>
  </r>
  <r>
    <x v="1500"/>
    <x v="9"/>
    <x v="2"/>
    <n v="51.9"/>
    <n v="155.69999999999999"/>
    <x v="55"/>
    <d v="2025-03-03T00:00:00"/>
    <x v="2"/>
    <x v="0"/>
    <x v="4"/>
    <x v="0"/>
    <x v="11"/>
    <x v="4"/>
    <x v="8"/>
    <x v="2"/>
  </r>
  <r>
    <x v="1501"/>
    <x v="1"/>
    <x v="1"/>
    <n v="30.9"/>
    <n v="61.8"/>
    <x v="55"/>
    <d v="2025-02-27T00:00:00"/>
    <x v="2"/>
    <x v="1"/>
    <x v="0"/>
    <x v="0"/>
    <x v="18"/>
    <x v="1"/>
    <x v="8"/>
    <x v="2"/>
  </r>
  <r>
    <x v="1502"/>
    <x v="4"/>
    <x v="2"/>
    <n v="21.2"/>
    <n v="63.599999999999994"/>
    <x v="55"/>
    <d v="2025-02-28T00:00:00"/>
    <x v="2"/>
    <x v="1"/>
    <x v="0"/>
    <x v="0"/>
    <x v="19"/>
    <x v="2"/>
    <x v="8"/>
    <x v="2"/>
  </r>
  <r>
    <x v="1503"/>
    <x v="13"/>
    <x v="14"/>
    <n v="17.5"/>
    <n v="297.5"/>
    <x v="55"/>
    <d v="2025-02-26T00:00:00"/>
    <x v="1"/>
    <x v="1"/>
    <x v="1"/>
    <x v="0"/>
    <x v="13"/>
    <x v="3"/>
    <x v="8"/>
    <x v="1"/>
  </r>
  <r>
    <x v="1504"/>
    <x v="12"/>
    <x v="1"/>
    <n v="53.8"/>
    <n v="107.6"/>
    <x v="55"/>
    <d v="2025-03-02T00:00:00"/>
    <x v="2"/>
    <x v="0"/>
    <x v="2"/>
    <x v="0"/>
    <x v="21"/>
    <x v="0"/>
    <x v="8"/>
    <x v="2"/>
  </r>
  <r>
    <x v="1505"/>
    <x v="19"/>
    <x v="1"/>
    <n v="17"/>
    <n v="34"/>
    <x v="55"/>
    <d v="2025-02-26T00:00:00"/>
    <x v="1"/>
    <x v="3"/>
    <x v="0"/>
    <x v="0"/>
    <x v="21"/>
    <x v="3"/>
    <x v="8"/>
    <x v="1"/>
  </r>
  <r>
    <x v="1506"/>
    <x v="6"/>
    <x v="0"/>
    <n v="103.2"/>
    <n v="103.2"/>
    <x v="55"/>
    <d v="2025-03-05T00:00:00"/>
    <x v="1"/>
    <x v="2"/>
    <x v="1"/>
    <x v="0"/>
    <x v="1"/>
    <x v="9"/>
    <x v="8"/>
    <x v="1"/>
  </r>
  <r>
    <x v="1507"/>
    <x v="6"/>
    <x v="12"/>
    <n v="70.3"/>
    <n v="281.2"/>
    <x v="55"/>
    <d v="2025-02-26T00:00:00"/>
    <x v="1"/>
    <x v="0"/>
    <x v="0"/>
    <x v="0"/>
    <x v="3"/>
    <x v="3"/>
    <x v="8"/>
    <x v="1"/>
  </r>
  <r>
    <x v="1508"/>
    <x v="2"/>
    <x v="1"/>
    <n v="73.8"/>
    <n v="147.6"/>
    <x v="55"/>
    <d v="2025-02-25T00:00:00"/>
    <x v="1"/>
    <x v="3"/>
    <x v="2"/>
    <x v="0"/>
    <x v="3"/>
    <x v="7"/>
    <x v="8"/>
    <x v="1"/>
  </r>
  <r>
    <x v="1509"/>
    <x v="1"/>
    <x v="4"/>
    <n v="67.7"/>
    <n v="812.40000000000009"/>
    <x v="55"/>
    <d v="2025-03-01T00:00:00"/>
    <x v="1"/>
    <x v="1"/>
    <x v="1"/>
    <x v="0"/>
    <x v="3"/>
    <x v="5"/>
    <x v="8"/>
    <x v="1"/>
  </r>
  <r>
    <x v="1510"/>
    <x v="13"/>
    <x v="3"/>
    <n v="43.8"/>
    <n v="306.59999999999997"/>
    <x v="55"/>
    <d v="2025-02-27T00:00:00"/>
    <x v="1"/>
    <x v="1"/>
    <x v="0"/>
    <x v="0"/>
    <x v="3"/>
    <x v="1"/>
    <x v="8"/>
    <x v="1"/>
  </r>
  <r>
    <x v="1511"/>
    <x v="17"/>
    <x v="13"/>
    <n v="71.900000000000006"/>
    <n v="431.40000000000003"/>
    <x v="55"/>
    <d v="2025-02-26T00:00:00"/>
    <x v="2"/>
    <x v="2"/>
    <x v="0"/>
    <x v="0"/>
    <x v="3"/>
    <x v="3"/>
    <x v="8"/>
    <x v="2"/>
  </r>
  <r>
    <x v="1512"/>
    <x v="8"/>
    <x v="1"/>
    <n v="26.3"/>
    <n v="52.6"/>
    <x v="56"/>
    <d v="2025-02-28T00:00:00"/>
    <x v="2"/>
    <x v="0"/>
    <x v="1"/>
    <x v="0"/>
    <x v="3"/>
    <x v="1"/>
    <x v="8"/>
    <x v="2"/>
  </r>
  <r>
    <x v="1513"/>
    <x v="6"/>
    <x v="12"/>
    <n v="52.6"/>
    <n v="210.4"/>
    <x v="56"/>
    <d v="2025-02-28T00:00:00"/>
    <x v="2"/>
    <x v="2"/>
    <x v="1"/>
    <x v="0"/>
    <x v="3"/>
    <x v="1"/>
    <x v="8"/>
    <x v="2"/>
  </r>
  <r>
    <x v="1514"/>
    <x v="10"/>
    <x v="0"/>
    <n v="32.700000000000003"/>
    <n v="32.700000000000003"/>
    <x v="56"/>
    <d v="2025-03-05T00:00:00"/>
    <x v="2"/>
    <x v="0"/>
    <x v="2"/>
    <x v="0"/>
    <x v="3"/>
    <x v="6"/>
    <x v="8"/>
    <x v="2"/>
  </r>
  <r>
    <x v="1515"/>
    <x v="5"/>
    <x v="12"/>
    <n v="38.9"/>
    <n v="155.6"/>
    <x v="56"/>
    <d v="2025-02-27T00:00:00"/>
    <x v="2"/>
    <x v="0"/>
    <x v="0"/>
    <x v="0"/>
    <x v="3"/>
    <x v="3"/>
    <x v="8"/>
    <x v="2"/>
  </r>
  <r>
    <x v="1516"/>
    <x v="9"/>
    <x v="9"/>
    <n v="35"/>
    <n v="175"/>
    <x v="56"/>
    <d v="2025-02-28T00:00:00"/>
    <x v="1"/>
    <x v="0"/>
    <x v="0"/>
    <x v="0"/>
    <x v="3"/>
    <x v="1"/>
    <x v="8"/>
    <x v="1"/>
  </r>
  <r>
    <x v="1517"/>
    <x v="2"/>
    <x v="1"/>
    <n v="121"/>
    <n v="242"/>
    <x v="56"/>
    <d v="2025-02-27T00:00:00"/>
    <x v="2"/>
    <x v="1"/>
    <x v="1"/>
    <x v="0"/>
    <x v="3"/>
    <x v="3"/>
    <x v="8"/>
    <x v="2"/>
  </r>
  <r>
    <x v="1518"/>
    <x v="6"/>
    <x v="2"/>
    <n v="65.099999999999994"/>
    <n v="195.29999999999998"/>
    <x v="56"/>
    <d v="2025-03-02T00:00:00"/>
    <x v="1"/>
    <x v="2"/>
    <x v="0"/>
    <x v="0"/>
    <x v="36"/>
    <x v="5"/>
    <x v="8"/>
    <x v="1"/>
  </r>
  <r>
    <x v="1519"/>
    <x v="1"/>
    <x v="38"/>
    <n v="63.8"/>
    <n v="1339.8"/>
    <x v="56"/>
    <d v="2025-02-28T00:00:00"/>
    <x v="2"/>
    <x v="0"/>
    <x v="0"/>
    <x v="0"/>
    <x v="8"/>
    <x v="1"/>
    <x v="8"/>
    <x v="2"/>
  </r>
  <r>
    <x v="1520"/>
    <x v="7"/>
    <x v="0"/>
    <n v="77.7"/>
    <n v="77.7"/>
    <x v="56"/>
    <d v="2025-02-28T00:00:00"/>
    <x v="1"/>
    <x v="0"/>
    <x v="0"/>
    <x v="0"/>
    <x v="8"/>
    <x v="1"/>
    <x v="8"/>
    <x v="1"/>
  </r>
  <r>
    <x v="1521"/>
    <x v="5"/>
    <x v="12"/>
    <n v="60.3"/>
    <n v="241.2"/>
    <x v="56"/>
    <d v="2025-02-26T00:00:00"/>
    <x v="1"/>
    <x v="0"/>
    <x v="2"/>
    <x v="0"/>
    <x v="8"/>
    <x v="7"/>
    <x v="8"/>
    <x v="1"/>
  </r>
  <r>
    <x v="1522"/>
    <x v="5"/>
    <x v="1"/>
    <n v="124.1"/>
    <n v="248.2"/>
    <x v="56"/>
    <d v="2025-03-01T00:00:00"/>
    <x v="2"/>
    <x v="0"/>
    <x v="2"/>
    <x v="0"/>
    <x v="8"/>
    <x v="2"/>
    <x v="8"/>
    <x v="2"/>
  </r>
  <r>
    <x v="1523"/>
    <x v="16"/>
    <x v="3"/>
    <n v="66"/>
    <n v="462"/>
    <x v="56"/>
    <d v="2025-02-26T00:00:00"/>
    <x v="0"/>
    <x v="3"/>
    <x v="0"/>
    <x v="0"/>
    <x v="17"/>
    <x v="7"/>
    <x v="8"/>
    <x v="0"/>
  </r>
  <r>
    <x v="1524"/>
    <x v="2"/>
    <x v="42"/>
    <n v="118.2"/>
    <n v="7446.6"/>
    <x v="56"/>
    <d v="2025-03-03T00:00:00"/>
    <x v="0"/>
    <x v="0"/>
    <x v="0"/>
    <x v="0"/>
    <x v="17"/>
    <x v="0"/>
    <x v="8"/>
    <x v="0"/>
  </r>
  <r>
    <x v="1525"/>
    <x v="5"/>
    <x v="9"/>
    <n v="64.3"/>
    <n v="321.5"/>
    <x v="56"/>
    <d v="2025-02-27T00:00:00"/>
    <x v="1"/>
    <x v="4"/>
    <x v="4"/>
    <x v="0"/>
    <x v="26"/>
    <x v="3"/>
    <x v="8"/>
    <x v="1"/>
  </r>
  <r>
    <x v="1526"/>
    <x v="1"/>
    <x v="1"/>
    <n v="54.8"/>
    <n v="109.6"/>
    <x v="56"/>
    <d v="2025-02-26T00:00:00"/>
    <x v="1"/>
    <x v="0"/>
    <x v="1"/>
    <x v="0"/>
    <x v="26"/>
    <x v="7"/>
    <x v="8"/>
    <x v="1"/>
  </r>
  <r>
    <x v="1527"/>
    <x v="7"/>
    <x v="1"/>
    <n v="78.599999999999994"/>
    <n v="157.19999999999999"/>
    <x v="56"/>
    <d v="2025-02-27T00:00:00"/>
    <x v="1"/>
    <x v="0"/>
    <x v="2"/>
    <x v="0"/>
    <x v="9"/>
    <x v="3"/>
    <x v="8"/>
    <x v="1"/>
  </r>
  <r>
    <x v="1528"/>
    <x v="2"/>
    <x v="9"/>
    <n v="158.5"/>
    <n v="792.5"/>
    <x v="56"/>
    <d v="2025-02-28T00:00:00"/>
    <x v="0"/>
    <x v="2"/>
    <x v="2"/>
    <x v="0"/>
    <x v="9"/>
    <x v="1"/>
    <x v="8"/>
    <x v="0"/>
  </r>
  <r>
    <x v="1529"/>
    <x v="4"/>
    <x v="7"/>
    <n v="23.5"/>
    <n v="235"/>
    <x v="56"/>
    <d v="2025-03-01T00:00:00"/>
    <x v="1"/>
    <x v="0"/>
    <x v="4"/>
    <x v="0"/>
    <x v="10"/>
    <x v="2"/>
    <x v="8"/>
    <x v="1"/>
  </r>
  <r>
    <x v="1530"/>
    <x v="5"/>
    <x v="1"/>
    <n v="32.1"/>
    <n v="64.2"/>
    <x v="56"/>
    <d v="2025-02-28T00:00:00"/>
    <x v="0"/>
    <x v="3"/>
    <x v="0"/>
    <x v="0"/>
    <x v="10"/>
    <x v="1"/>
    <x v="8"/>
    <x v="0"/>
  </r>
  <r>
    <x v="1531"/>
    <x v="17"/>
    <x v="12"/>
    <n v="71.900000000000006"/>
    <n v="287.60000000000002"/>
    <x v="56"/>
    <d v="2025-02-26T00:00:00"/>
    <x v="1"/>
    <x v="2"/>
    <x v="0"/>
    <x v="0"/>
    <x v="19"/>
    <x v="7"/>
    <x v="8"/>
    <x v="1"/>
  </r>
  <r>
    <x v="1532"/>
    <x v="4"/>
    <x v="13"/>
    <n v="22.3"/>
    <n v="133.80000000000001"/>
    <x v="56"/>
    <d v="2025-02-27T00:00:00"/>
    <x v="0"/>
    <x v="3"/>
    <x v="2"/>
    <x v="0"/>
    <x v="13"/>
    <x v="3"/>
    <x v="8"/>
    <x v="0"/>
  </r>
  <r>
    <x v="1533"/>
    <x v="11"/>
    <x v="1"/>
    <n v="29.5"/>
    <n v="59"/>
    <x v="56"/>
    <d v="2025-02-27T00:00:00"/>
    <x v="2"/>
    <x v="0"/>
    <x v="2"/>
    <x v="0"/>
    <x v="13"/>
    <x v="3"/>
    <x v="8"/>
    <x v="2"/>
  </r>
  <r>
    <x v="1534"/>
    <x v="6"/>
    <x v="12"/>
    <n v="41.9"/>
    <n v="167.6"/>
    <x v="56"/>
    <d v="2025-03-02T00:00:00"/>
    <x v="2"/>
    <x v="0"/>
    <x v="1"/>
    <x v="0"/>
    <x v="21"/>
    <x v="5"/>
    <x v="8"/>
    <x v="2"/>
  </r>
  <r>
    <x v="1535"/>
    <x v="6"/>
    <x v="2"/>
    <n v="107.8"/>
    <n v="323.39999999999998"/>
    <x v="56"/>
    <d v="2025-02-27T00:00:00"/>
    <x v="1"/>
    <x v="1"/>
    <x v="2"/>
    <x v="0"/>
    <x v="46"/>
    <x v="3"/>
    <x v="8"/>
    <x v="1"/>
  </r>
  <r>
    <x v="1536"/>
    <x v="4"/>
    <x v="9"/>
    <n v="18.100000000000001"/>
    <n v="90.5"/>
    <x v="56"/>
    <d v="2025-03-01T00:00:00"/>
    <x v="1"/>
    <x v="0"/>
    <x v="2"/>
    <x v="0"/>
    <x v="2"/>
    <x v="2"/>
    <x v="8"/>
    <x v="1"/>
  </r>
  <r>
    <x v="1537"/>
    <x v="12"/>
    <x v="11"/>
    <n v="79.8"/>
    <n v="718.19999999999993"/>
    <x v="56"/>
    <d v="2025-02-27T00:00:00"/>
    <x v="2"/>
    <x v="1"/>
    <x v="1"/>
    <x v="0"/>
    <x v="22"/>
    <x v="3"/>
    <x v="8"/>
    <x v="2"/>
  </r>
  <r>
    <x v="1538"/>
    <x v="0"/>
    <x v="2"/>
    <n v="22.3"/>
    <n v="66.900000000000006"/>
    <x v="56"/>
    <d v="2025-03-01T00:00:00"/>
    <x v="2"/>
    <x v="0"/>
    <x v="2"/>
    <x v="0"/>
    <x v="22"/>
    <x v="2"/>
    <x v="8"/>
    <x v="2"/>
  </r>
  <r>
    <x v="1539"/>
    <x v="8"/>
    <x v="0"/>
    <n v="22.9"/>
    <n v="22.9"/>
    <x v="56"/>
    <d v="2025-02-26T00:00:00"/>
    <x v="2"/>
    <x v="1"/>
    <x v="0"/>
    <x v="0"/>
    <x v="22"/>
    <x v="7"/>
    <x v="8"/>
    <x v="2"/>
  </r>
  <r>
    <x v="1540"/>
    <x v="0"/>
    <x v="2"/>
    <n v="16.2"/>
    <n v="48.599999999999994"/>
    <x v="57"/>
    <d v="2025-02-27T00:00:00"/>
    <x v="1"/>
    <x v="4"/>
    <x v="2"/>
    <x v="0"/>
    <x v="3"/>
    <x v="7"/>
    <x v="8"/>
    <x v="1"/>
  </r>
  <r>
    <x v="1541"/>
    <x v="10"/>
    <x v="12"/>
    <n v="59.5"/>
    <n v="238"/>
    <x v="57"/>
    <d v="2025-02-28T00:00:00"/>
    <x v="1"/>
    <x v="1"/>
    <x v="2"/>
    <x v="0"/>
    <x v="3"/>
    <x v="3"/>
    <x v="8"/>
    <x v="1"/>
  </r>
  <r>
    <x v="1542"/>
    <x v="18"/>
    <x v="9"/>
    <n v="26.2"/>
    <n v="131"/>
    <x v="57"/>
    <d v="2025-03-02T00:00:00"/>
    <x v="1"/>
    <x v="3"/>
    <x v="4"/>
    <x v="0"/>
    <x v="3"/>
    <x v="2"/>
    <x v="8"/>
    <x v="1"/>
  </r>
  <r>
    <x v="1543"/>
    <x v="3"/>
    <x v="0"/>
    <n v="44.2"/>
    <n v="44.2"/>
    <x v="57"/>
    <d v="2025-03-02T00:00:00"/>
    <x v="2"/>
    <x v="1"/>
    <x v="0"/>
    <x v="0"/>
    <x v="3"/>
    <x v="2"/>
    <x v="8"/>
    <x v="2"/>
  </r>
  <r>
    <x v="1544"/>
    <x v="9"/>
    <x v="1"/>
    <n v="59.2"/>
    <n v="118.4"/>
    <x v="57"/>
    <d v="2025-02-27T00:00:00"/>
    <x v="2"/>
    <x v="1"/>
    <x v="4"/>
    <x v="0"/>
    <x v="3"/>
    <x v="7"/>
    <x v="8"/>
    <x v="2"/>
  </r>
  <r>
    <x v="1545"/>
    <x v="15"/>
    <x v="12"/>
    <n v="41.5"/>
    <n v="166"/>
    <x v="57"/>
    <d v="2025-03-01T00:00:00"/>
    <x v="2"/>
    <x v="0"/>
    <x v="0"/>
    <x v="0"/>
    <x v="16"/>
    <x v="1"/>
    <x v="8"/>
    <x v="2"/>
  </r>
  <r>
    <x v="1546"/>
    <x v="6"/>
    <x v="4"/>
    <n v="67.099999999999994"/>
    <n v="805.19999999999993"/>
    <x v="57"/>
    <d v="2025-03-13T00:00:00"/>
    <x v="2"/>
    <x v="0"/>
    <x v="2"/>
    <x v="0"/>
    <x v="23"/>
    <x v="12"/>
    <x v="8"/>
    <x v="2"/>
  </r>
  <r>
    <x v="1547"/>
    <x v="8"/>
    <x v="1"/>
    <n v="28.7"/>
    <n v="57.4"/>
    <x v="57"/>
    <d v="2025-03-03T00:00:00"/>
    <x v="2"/>
    <x v="1"/>
    <x v="0"/>
    <x v="0"/>
    <x v="6"/>
    <x v="5"/>
    <x v="8"/>
    <x v="2"/>
  </r>
  <r>
    <x v="1548"/>
    <x v="2"/>
    <x v="12"/>
    <n v="132.1"/>
    <n v="528.4"/>
    <x v="57"/>
    <d v="2025-02-28T00:00:00"/>
    <x v="2"/>
    <x v="0"/>
    <x v="1"/>
    <x v="0"/>
    <x v="6"/>
    <x v="3"/>
    <x v="8"/>
    <x v="2"/>
  </r>
  <r>
    <x v="1549"/>
    <x v="18"/>
    <x v="1"/>
    <n v="47"/>
    <n v="94"/>
    <x v="57"/>
    <d v="2025-03-01T00:00:00"/>
    <x v="1"/>
    <x v="4"/>
    <x v="0"/>
    <x v="0"/>
    <x v="8"/>
    <x v="1"/>
    <x v="8"/>
    <x v="1"/>
  </r>
  <r>
    <x v="1550"/>
    <x v="8"/>
    <x v="1"/>
    <n v="41.6"/>
    <n v="83.2"/>
    <x v="57"/>
    <d v="2025-03-03T00:00:00"/>
    <x v="1"/>
    <x v="1"/>
    <x v="2"/>
    <x v="0"/>
    <x v="8"/>
    <x v="5"/>
    <x v="8"/>
    <x v="1"/>
  </r>
  <r>
    <x v="1551"/>
    <x v="8"/>
    <x v="43"/>
    <n v="17.3"/>
    <n v="657.4"/>
    <x v="57"/>
    <d v="2025-03-01T00:00:00"/>
    <x v="1"/>
    <x v="2"/>
    <x v="2"/>
    <x v="0"/>
    <x v="8"/>
    <x v="1"/>
    <x v="8"/>
    <x v="1"/>
  </r>
  <r>
    <x v="1552"/>
    <x v="13"/>
    <x v="2"/>
    <n v="41.8"/>
    <n v="125.39999999999999"/>
    <x v="57"/>
    <d v="2025-03-02T00:00:00"/>
    <x v="1"/>
    <x v="0"/>
    <x v="2"/>
    <x v="0"/>
    <x v="8"/>
    <x v="2"/>
    <x v="8"/>
    <x v="1"/>
  </r>
  <r>
    <x v="1553"/>
    <x v="10"/>
    <x v="0"/>
    <n v="24"/>
    <n v="24"/>
    <x v="57"/>
    <d v="2025-02-28T00:00:00"/>
    <x v="2"/>
    <x v="0"/>
    <x v="0"/>
    <x v="0"/>
    <x v="17"/>
    <x v="3"/>
    <x v="8"/>
    <x v="2"/>
  </r>
  <r>
    <x v="1554"/>
    <x v="14"/>
    <x v="11"/>
    <n v="18.5"/>
    <n v="166.5"/>
    <x v="57"/>
    <d v="2025-03-01T00:00:00"/>
    <x v="2"/>
    <x v="0"/>
    <x v="0"/>
    <x v="0"/>
    <x v="9"/>
    <x v="1"/>
    <x v="8"/>
    <x v="2"/>
  </r>
  <r>
    <x v="1555"/>
    <x v="3"/>
    <x v="4"/>
    <n v="66.7"/>
    <n v="800.40000000000009"/>
    <x v="57"/>
    <d v="2025-03-02T00:00:00"/>
    <x v="0"/>
    <x v="0"/>
    <x v="2"/>
    <x v="0"/>
    <x v="11"/>
    <x v="2"/>
    <x v="8"/>
    <x v="0"/>
  </r>
  <r>
    <x v="1556"/>
    <x v="1"/>
    <x v="12"/>
    <n v="33.1"/>
    <n v="132.4"/>
    <x v="57"/>
    <d v="2025-03-04T00:00:00"/>
    <x v="1"/>
    <x v="3"/>
    <x v="0"/>
    <x v="0"/>
    <x v="11"/>
    <x v="0"/>
    <x v="8"/>
    <x v="1"/>
  </r>
  <r>
    <x v="1557"/>
    <x v="19"/>
    <x v="11"/>
    <n v="42.1"/>
    <n v="378.90000000000003"/>
    <x v="57"/>
    <d v="2025-03-10T00:00:00"/>
    <x v="1"/>
    <x v="1"/>
    <x v="0"/>
    <x v="0"/>
    <x v="18"/>
    <x v="11"/>
    <x v="8"/>
    <x v="1"/>
  </r>
  <r>
    <x v="1558"/>
    <x v="18"/>
    <x v="3"/>
    <n v="58.7"/>
    <n v="410.90000000000003"/>
    <x v="57"/>
    <d v="2025-02-27T00:00:00"/>
    <x v="3"/>
    <x v="3"/>
    <x v="0"/>
    <x v="0"/>
    <x v="31"/>
    <x v="7"/>
    <x v="8"/>
    <x v="3"/>
  </r>
  <r>
    <x v="1559"/>
    <x v="6"/>
    <x v="12"/>
    <n v="54"/>
    <n v="216"/>
    <x v="57"/>
    <d v="2025-03-01T00:00:00"/>
    <x v="2"/>
    <x v="1"/>
    <x v="0"/>
    <x v="0"/>
    <x v="1"/>
    <x v="1"/>
    <x v="8"/>
    <x v="2"/>
  </r>
  <r>
    <x v="1560"/>
    <x v="8"/>
    <x v="0"/>
    <n v="52.1"/>
    <n v="52.1"/>
    <x v="57"/>
    <d v="2025-02-28T00:00:00"/>
    <x v="2"/>
    <x v="2"/>
    <x v="2"/>
    <x v="0"/>
    <x v="2"/>
    <x v="3"/>
    <x v="8"/>
    <x v="2"/>
  </r>
  <r>
    <x v="1561"/>
    <x v="19"/>
    <x v="1"/>
    <n v="27"/>
    <n v="54"/>
    <x v="57"/>
    <d v="2025-03-02T00:00:00"/>
    <x v="3"/>
    <x v="2"/>
    <x v="0"/>
    <x v="0"/>
    <x v="22"/>
    <x v="2"/>
    <x v="8"/>
    <x v="3"/>
  </r>
  <r>
    <x v="1562"/>
    <x v="12"/>
    <x v="7"/>
    <n v="31"/>
    <n v="310"/>
    <x v="58"/>
    <d v="2025-03-01T00:00:00"/>
    <x v="2"/>
    <x v="3"/>
    <x v="2"/>
    <x v="0"/>
    <x v="22"/>
    <x v="3"/>
    <x v="8"/>
    <x v="2"/>
  </r>
  <r>
    <x v="1563"/>
    <x v="10"/>
    <x v="1"/>
    <n v="46.7"/>
    <n v="93.4"/>
    <x v="58"/>
    <d v="2025-02-28T00:00:00"/>
    <x v="2"/>
    <x v="0"/>
    <x v="0"/>
    <x v="0"/>
    <x v="34"/>
    <x v="7"/>
    <x v="8"/>
    <x v="2"/>
  </r>
  <r>
    <x v="1564"/>
    <x v="6"/>
    <x v="0"/>
    <n v="144.69999999999999"/>
    <n v="144.69999999999999"/>
    <x v="58"/>
    <d v="2025-03-03T00:00:00"/>
    <x v="1"/>
    <x v="0"/>
    <x v="2"/>
    <x v="0"/>
    <x v="3"/>
    <x v="2"/>
    <x v="8"/>
    <x v="1"/>
  </r>
  <r>
    <x v="1565"/>
    <x v="2"/>
    <x v="11"/>
    <n v="90.9"/>
    <n v="818.1"/>
    <x v="58"/>
    <d v="2025-03-01T00:00:00"/>
    <x v="1"/>
    <x v="0"/>
    <x v="2"/>
    <x v="0"/>
    <x v="3"/>
    <x v="3"/>
    <x v="8"/>
    <x v="1"/>
  </r>
  <r>
    <x v="1566"/>
    <x v="1"/>
    <x v="1"/>
    <n v="75.8"/>
    <n v="151.6"/>
    <x v="58"/>
    <d v="2025-03-01T00:00:00"/>
    <x v="2"/>
    <x v="2"/>
    <x v="1"/>
    <x v="0"/>
    <x v="3"/>
    <x v="3"/>
    <x v="8"/>
    <x v="2"/>
  </r>
  <r>
    <x v="1567"/>
    <x v="7"/>
    <x v="9"/>
    <n v="57.9"/>
    <n v="289.5"/>
    <x v="58"/>
    <d v="2025-03-02T00:00:00"/>
    <x v="1"/>
    <x v="2"/>
    <x v="2"/>
    <x v="0"/>
    <x v="3"/>
    <x v="1"/>
    <x v="8"/>
    <x v="1"/>
  </r>
  <r>
    <x v="1568"/>
    <x v="8"/>
    <x v="9"/>
    <n v="44.8"/>
    <n v="224"/>
    <x v="58"/>
    <d v="2025-03-01T00:00:00"/>
    <x v="2"/>
    <x v="3"/>
    <x v="2"/>
    <x v="0"/>
    <x v="3"/>
    <x v="3"/>
    <x v="8"/>
    <x v="2"/>
  </r>
  <r>
    <x v="1569"/>
    <x v="9"/>
    <x v="2"/>
    <n v="44.2"/>
    <n v="132.60000000000002"/>
    <x v="58"/>
    <d v="2025-03-04T00:00:00"/>
    <x v="1"/>
    <x v="2"/>
    <x v="2"/>
    <x v="0"/>
    <x v="3"/>
    <x v="5"/>
    <x v="8"/>
    <x v="1"/>
  </r>
  <r>
    <x v="1570"/>
    <x v="5"/>
    <x v="9"/>
    <n v="53.5"/>
    <n v="267.5"/>
    <x v="58"/>
    <d v="2025-03-02T00:00:00"/>
    <x v="1"/>
    <x v="0"/>
    <x v="0"/>
    <x v="0"/>
    <x v="37"/>
    <x v="1"/>
    <x v="8"/>
    <x v="1"/>
  </r>
  <r>
    <x v="1571"/>
    <x v="6"/>
    <x v="1"/>
    <n v="72.2"/>
    <n v="144.4"/>
    <x v="58"/>
    <d v="2025-03-01T00:00:00"/>
    <x v="1"/>
    <x v="0"/>
    <x v="2"/>
    <x v="0"/>
    <x v="25"/>
    <x v="3"/>
    <x v="8"/>
    <x v="1"/>
  </r>
  <r>
    <x v="1572"/>
    <x v="6"/>
    <x v="12"/>
    <n v="62.4"/>
    <n v="249.6"/>
    <x v="58"/>
    <d v="2025-03-03T00:00:00"/>
    <x v="2"/>
    <x v="0"/>
    <x v="1"/>
    <x v="0"/>
    <x v="23"/>
    <x v="2"/>
    <x v="8"/>
    <x v="2"/>
  </r>
  <r>
    <x v="1573"/>
    <x v="10"/>
    <x v="9"/>
    <n v="24.7"/>
    <n v="123.5"/>
    <x v="58"/>
    <d v="2025-03-01T00:00:00"/>
    <x v="2"/>
    <x v="0"/>
    <x v="0"/>
    <x v="0"/>
    <x v="6"/>
    <x v="3"/>
    <x v="8"/>
    <x v="2"/>
  </r>
  <r>
    <x v="1574"/>
    <x v="1"/>
    <x v="9"/>
    <n v="61.7"/>
    <n v="308.5"/>
    <x v="58"/>
    <d v="2025-03-02T00:00:00"/>
    <x v="2"/>
    <x v="2"/>
    <x v="0"/>
    <x v="0"/>
    <x v="8"/>
    <x v="1"/>
    <x v="8"/>
    <x v="2"/>
  </r>
  <r>
    <x v="1575"/>
    <x v="8"/>
    <x v="9"/>
    <n v="18.2"/>
    <n v="91"/>
    <x v="58"/>
    <d v="2025-03-02T00:00:00"/>
    <x v="2"/>
    <x v="3"/>
    <x v="0"/>
    <x v="0"/>
    <x v="8"/>
    <x v="1"/>
    <x v="8"/>
    <x v="2"/>
  </r>
  <r>
    <x v="1576"/>
    <x v="10"/>
    <x v="12"/>
    <n v="37.200000000000003"/>
    <n v="148.80000000000001"/>
    <x v="58"/>
    <d v="2025-03-06T00:00:00"/>
    <x v="2"/>
    <x v="0"/>
    <x v="0"/>
    <x v="0"/>
    <x v="8"/>
    <x v="4"/>
    <x v="8"/>
    <x v="2"/>
  </r>
  <r>
    <x v="1577"/>
    <x v="9"/>
    <x v="2"/>
    <n v="53.5"/>
    <n v="160.5"/>
    <x v="58"/>
    <d v="2025-03-02T00:00:00"/>
    <x v="2"/>
    <x v="1"/>
    <x v="2"/>
    <x v="0"/>
    <x v="9"/>
    <x v="1"/>
    <x v="8"/>
    <x v="2"/>
  </r>
  <r>
    <x v="1578"/>
    <x v="8"/>
    <x v="2"/>
    <n v="43.6"/>
    <n v="130.80000000000001"/>
    <x v="58"/>
    <d v="2025-02-28T00:00:00"/>
    <x v="2"/>
    <x v="0"/>
    <x v="0"/>
    <x v="0"/>
    <x v="9"/>
    <x v="7"/>
    <x v="8"/>
    <x v="2"/>
  </r>
  <r>
    <x v="1579"/>
    <x v="1"/>
    <x v="7"/>
    <n v="135"/>
    <n v="1350"/>
    <x v="58"/>
    <d v="2025-03-02T00:00:00"/>
    <x v="2"/>
    <x v="0"/>
    <x v="2"/>
    <x v="0"/>
    <x v="9"/>
    <x v="1"/>
    <x v="8"/>
    <x v="2"/>
  </r>
  <r>
    <x v="1580"/>
    <x v="8"/>
    <x v="9"/>
    <n v="38.5"/>
    <n v="192.5"/>
    <x v="58"/>
    <d v="2025-02-28T00:00:00"/>
    <x v="1"/>
    <x v="4"/>
    <x v="2"/>
    <x v="0"/>
    <x v="10"/>
    <x v="7"/>
    <x v="8"/>
    <x v="1"/>
  </r>
  <r>
    <x v="1581"/>
    <x v="9"/>
    <x v="1"/>
    <n v="24"/>
    <n v="48"/>
    <x v="58"/>
    <d v="2025-03-05T00:00:00"/>
    <x v="2"/>
    <x v="0"/>
    <x v="0"/>
    <x v="0"/>
    <x v="11"/>
    <x v="0"/>
    <x v="8"/>
    <x v="2"/>
  </r>
  <r>
    <x v="1582"/>
    <x v="4"/>
    <x v="2"/>
    <n v="28.2"/>
    <n v="84.6"/>
    <x v="58"/>
    <d v="2025-03-02T00:00:00"/>
    <x v="1"/>
    <x v="0"/>
    <x v="3"/>
    <x v="0"/>
    <x v="18"/>
    <x v="1"/>
    <x v="8"/>
    <x v="1"/>
  </r>
  <r>
    <x v="1583"/>
    <x v="7"/>
    <x v="2"/>
    <n v="37.4"/>
    <n v="112.19999999999999"/>
    <x v="58"/>
    <d v="2025-03-01T00:00:00"/>
    <x v="2"/>
    <x v="3"/>
    <x v="0"/>
    <x v="0"/>
    <x v="1"/>
    <x v="3"/>
    <x v="8"/>
    <x v="2"/>
  </r>
  <r>
    <x v="1584"/>
    <x v="6"/>
    <x v="2"/>
    <n v="53.5"/>
    <n v="160.5"/>
    <x v="58"/>
    <d v="2025-03-03T00:00:00"/>
    <x v="0"/>
    <x v="4"/>
    <x v="4"/>
    <x v="0"/>
    <x v="1"/>
    <x v="2"/>
    <x v="8"/>
    <x v="0"/>
  </r>
  <r>
    <x v="1585"/>
    <x v="11"/>
    <x v="9"/>
    <n v="36.200000000000003"/>
    <n v="181"/>
    <x v="58"/>
    <d v="2025-03-01T00:00:00"/>
    <x v="1"/>
    <x v="1"/>
    <x v="2"/>
    <x v="0"/>
    <x v="33"/>
    <x v="3"/>
    <x v="8"/>
    <x v="1"/>
  </r>
  <r>
    <x v="1586"/>
    <x v="0"/>
    <x v="8"/>
    <n v="31.9"/>
    <n v="255.2"/>
    <x v="58"/>
    <d v="2025-03-01T00:00:00"/>
    <x v="2"/>
    <x v="4"/>
    <x v="0"/>
    <x v="0"/>
    <x v="3"/>
    <x v="3"/>
    <x v="8"/>
    <x v="2"/>
  </r>
  <r>
    <x v="1587"/>
    <x v="8"/>
    <x v="2"/>
    <n v="21.3"/>
    <n v="63.900000000000006"/>
    <x v="58"/>
    <d v="2025-03-01T00:00:00"/>
    <x v="1"/>
    <x v="0"/>
    <x v="2"/>
    <x v="0"/>
    <x v="3"/>
    <x v="3"/>
    <x v="8"/>
    <x v="1"/>
  </r>
  <r>
    <x v="1588"/>
    <x v="8"/>
    <x v="0"/>
    <n v="36.299999999999997"/>
    <n v="36.299999999999997"/>
    <x v="58"/>
    <d v="2025-03-02T00:00:00"/>
    <x v="3"/>
    <x v="4"/>
    <x v="0"/>
    <x v="0"/>
    <x v="3"/>
    <x v="1"/>
    <x v="8"/>
    <x v="3"/>
  </r>
  <r>
    <x v="1589"/>
    <x v="6"/>
    <x v="2"/>
    <n v="110.5"/>
    <n v="331.5"/>
    <x v="58"/>
    <d v="2025-03-01T00:00:00"/>
    <x v="2"/>
    <x v="0"/>
    <x v="3"/>
    <x v="0"/>
    <x v="3"/>
    <x v="3"/>
    <x v="8"/>
    <x v="2"/>
  </r>
  <r>
    <x v="1590"/>
    <x v="10"/>
    <x v="3"/>
    <n v="32.6"/>
    <n v="228.20000000000002"/>
    <x v="58"/>
    <d v="2025-03-02T00:00:00"/>
    <x v="2"/>
    <x v="0"/>
    <x v="1"/>
    <x v="0"/>
    <x v="3"/>
    <x v="1"/>
    <x v="8"/>
    <x v="2"/>
  </r>
  <r>
    <x v="1591"/>
    <x v="5"/>
    <x v="2"/>
    <n v="55.6"/>
    <n v="166.8"/>
    <x v="59"/>
    <d v="2025-03-14T00:00:00"/>
    <x v="2"/>
    <x v="0"/>
    <x v="0"/>
    <x v="0"/>
    <x v="3"/>
    <x v="10"/>
    <x v="8"/>
    <x v="2"/>
  </r>
  <r>
    <x v="1592"/>
    <x v="1"/>
    <x v="12"/>
    <n v="38"/>
    <n v="152"/>
    <x v="59"/>
    <d v="2025-03-02T00:00:00"/>
    <x v="2"/>
    <x v="3"/>
    <x v="2"/>
    <x v="0"/>
    <x v="5"/>
    <x v="3"/>
    <x v="8"/>
    <x v="2"/>
  </r>
  <r>
    <x v="1593"/>
    <x v="10"/>
    <x v="1"/>
    <n v="51.8"/>
    <n v="103.6"/>
    <x v="59"/>
    <d v="2025-03-07T00:00:00"/>
    <x v="1"/>
    <x v="1"/>
    <x v="4"/>
    <x v="0"/>
    <x v="6"/>
    <x v="4"/>
    <x v="8"/>
    <x v="1"/>
  </r>
  <r>
    <x v="1594"/>
    <x v="11"/>
    <x v="8"/>
    <n v="28.7"/>
    <n v="229.6"/>
    <x v="59"/>
    <d v="2025-03-06T00:00:00"/>
    <x v="2"/>
    <x v="0"/>
    <x v="0"/>
    <x v="0"/>
    <x v="6"/>
    <x v="0"/>
    <x v="8"/>
    <x v="2"/>
  </r>
  <r>
    <x v="1595"/>
    <x v="6"/>
    <x v="4"/>
    <n v="52.2"/>
    <n v="626.40000000000009"/>
    <x v="59"/>
    <d v="2025-03-01T00:00:00"/>
    <x v="1"/>
    <x v="0"/>
    <x v="1"/>
    <x v="0"/>
    <x v="6"/>
    <x v="7"/>
    <x v="8"/>
    <x v="1"/>
  </r>
  <r>
    <x v="1596"/>
    <x v="1"/>
    <x v="1"/>
    <n v="68.2"/>
    <n v="136.4"/>
    <x v="59"/>
    <d v="2025-03-02T00:00:00"/>
    <x v="0"/>
    <x v="2"/>
    <x v="0"/>
    <x v="0"/>
    <x v="7"/>
    <x v="3"/>
    <x v="8"/>
    <x v="0"/>
  </r>
  <r>
    <x v="1597"/>
    <x v="0"/>
    <x v="2"/>
    <n v="34"/>
    <n v="102"/>
    <x v="59"/>
    <d v="2025-03-05T00:00:00"/>
    <x v="2"/>
    <x v="0"/>
    <x v="0"/>
    <x v="0"/>
    <x v="8"/>
    <x v="5"/>
    <x v="8"/>
    <x v="2"/>
  </r>
  <r>
    <x v="1598"/>
    <x v="8"/>
    <x v="2"/>
    <n v="19.100000000000001"/>
    <n v="57.300000000000004"/>
    <x v="59"/>
    <d v="2025-03-02T00:00:00"/>
    <x v="2"/>
    <x v="4"/>
    <x v="0"/>
    <x v="0"/>
    <x v="8"/>
    <x v="3"/>
    <x v="8"/>
    <x v="2"/>
  </r>
  <r>
    <x v="1599"/>
    <x v="5"/>
    <x v="8"/>
    <n v="34"/>
    <n v="272"/>
    <x v="59"/>
    <d v="2025-03-09T00:00:00"/>
    <x v="2"/>
    <x v="4"/>
    <x v="0"/>
    <x v="0"/>
    <x v="8"/>
    <x v="9"/>
    <x v="8"/>
    <x v="2"/>
  </r>
  <r>
    <x v="1600"/>
    <x v="12"/>
    <x v="1"/>
    <n v="109.1"/>
    <n v="218.2"/>
    <x v="59"/>
    <d v="2025-03-03T00:00:00"/>
    <x v="1"/>
    <x v="0"/>
    <x v="2"/>
    <x v="0"/>
    <x v="8"/>
    <x v="1"/>
    <x v="8"/>
    <x v="1"/>
  </r>
  <r>
    <x v="1601"/>
    <x v="18"/>
    <x v="1"/>
    <n v="64.8"/>
    <n v="129.6"/>
    <x v="59"/>
    <d v="2025-03-03T00:00:00"/>
    <x v="1"/>
    <x v="0"/>
    <x v="2"/>
    <x v="0"/>
    <x v="8"/>
    <x v="1"/>
    <x v="8"/>
    <x v="1"/>
  </r>
  <r>
    <x v="1602"/>
    <x v="10"/>
    <x v="1"/>
    <n v="21.1"/>
    <n v="42.2"/>
    <x v="59"/>
    <d v="2025-03-01T00:00:00"/>
    <x v="2"/>
    <x v="1"/>
    <x v="0"/>
    <x v="0"/>
    <x v="11"/>
    <x v="7"/>
    <x v="8"/>
    <x v="2"/>
  </r>
  <r>
    <x v="1603"/>
    <x v="0"/>
    <x v="8"/>
    <n v="21.3"/>
    <n v="170.4"/>
    <x v="59"/>
    <d v="2025-03-03T00:00:00"/>
    <x v="1"/>
    <x v="3"/>
    <x v="1"/>
    <x v="0"/>
    <x v="18"/>
    <x v="1"/>
    <x v="8"/>
    <x v="1"/>
  </r>
  <r>
    <x v="1604"/>
    <x v="9"/>
    <x v="2"/>
    <n v="24.3"/>
    <n v="72.900000000000006"/>
    <x v="59"/>
    <d v="2025-03-02T00:00:00"/>
    <x v="1"/>
    <x v="1"/>
    <x v="0"/>
    <x v="0"/>
    <x v="19"/>
    <x v="3"/>
    <x v="8"/>
    <x v="1"/>
  </r>
  <r>
    <x v="1605"/>
    <x v="8"/>
    <x v="0"/>
    <n v="43.3"/>
    <n v="43.3"/>
    <x v="59"/>
    <d v="2025-03-05T00:00:00"/>
    <x v="1"/>
    <x v="1"/>
    <x v="1"/>
    <x v="0"/>
    <x v="13"/>
    <x v="5"/>
    <x v="8"/>
    <x v="1"/>
  </r>
  <r>
    <x v="1606"/>
    <x v="9"/>
    <x v="2"/>
    <n v="41"/>
    <n v="123"/>
    <x v="59"/>
    <d v="2025-03-02T00:00:00"/>
    <x v="2"/>
    <x v="3"/>
    <x v="4"/>
    <x v="0"/>
    <x v="21"/>
    <x v="3"/>
    <x v="8"/>
    <x v="2"/>
  </r>
  <r>
    <x v="1607"/>
    <x v="16"/>
    <x v="2"/>
    <n v="54.1"/>
    <n v="162.30000000000001"/>
    <x v="59"/>
    <d v="2025-03-03T00:00:00"/>
    <x v="2"/>
    <x v="4"/>
    <x v="0"/>
    <x v="0"/>
    <x v="21"/>
    <x v="1"/>
    <x v="8"/>
    <x v="2"/>
  </r>
  <r>
    <x v="1608"/>
    <x v="11"/>
    <x v="1"/>
    <n v="39"/>
    <n v="78"/>
    <x v="59"/>
    <d v="2025-03-02T00:00:00"/>
    <x v="1"/>
    <x v="1"/>
    <x v="2"/>
    <x v="0"/>
    <x v="1"/>
    <x v="3"/>
    <x v="8"/>
    <x v="1"/>
  </r>
  <r>
    <x v="1609"/>
    <x v="8"/>
    <x v="1"/>
    <n v="40.299999999999997"/>
    <n v="80.599999999999994"/>
    <x v="59"/>
    <d v="2025-03-03T00:00:00"/>
    <x v="1"/>
    <x v="3"/>
    <x v="0"/>
    <x v="0"/>
    <x v="27"/>
    <x v="1"/>
    <x v="8"/>
    <x v="1"/>
  </r>
  <r>
    <x v="1610"/>
    <x v="8"/>
    <x v="2"/>
    <n v="24.1"/>
    <n v="72.300000000000011"/>
    <x v="59"/>
    <d v="2025-03-02T00:00:00"/>
    <x v="1"/>
    <x v="0"/>
    <x v="2"/>
    <x v="0"/>
    <x v="34"/>
    <x v="3"/>
    <x v="8"/>
    <x v="1"/>
  </r>
  <r>
    <x v="1611"/>
    <x v="6"/>
    <x v="9"/>
    <n v="52.3"/>
    <n v="261.5"/>
    <x v="59"/>
    <d v="2025-03-02T00:00:00"/>
    <x v="1"/>
    <x v="2"/>
    <x v="0"/>
    <x v="0"/>
    <x v="3"/>
    <x v="3"/>
    <x v="8"/>
    <x v="1"/>
  </r>
  <r>
    <x v="1612"/>
    <x v="12"/>
    <x v="12"/>
    <n v="68.8"/>
    <n v="275.2"/>
    <x v="59"/>
    <d v="2025-03-05T00:00:00"/>
    <x v="2"/>
    <x v="4"/>
    <x v="2"/>
    <x v="0"/>
    <x v="3"/>
    <x v="5"/>
    <x v="8"/>
    <x v="2"/>
  </r>
  <r>
    <x v="1613"/>
    <x v="2"/>
    <x v="1"/>
    <n v="128.80000000000001"/>
    <n v="257.60000000000002"/>
    <x v="60"/>
    <d v="2025-03-05T00:00:00"/>
    <x v="2"/>
    <x v="1"/>
    <x v="1"/>
    <x v="0"/>
    <x v="3"/>
    <x v="2"/>
    <x v="9"/>
    <x v="2"/>
  </r>
  <r>
    <x v="1614"/>
    <x v="15"/>
    <x v="9"/>
    <n v="48.2"/>
    <n v="241"/>
    <x v="60"/>
    <d v="2025-03-04T00:00:00"/>
    <x v="2"/>
    <x v="3"/>
    <x v="0"/>
    <x v="0"/>
    <x v="3"/>
    <x v="1"/>
    <x v="9"/>
    <x v="2"/>
  </r>
  <r>
    <x v="1615"/>
    <x v="10"/>
    <x v="0"/>
    <n v="39.700000000000003"/>
    <n v="39.700000000000003"/>
    <x v="60"/>
    <d v="2025-03-04T00:00:00"/>
    <x v="2"/>
    <x v="0"/>
    <x v="1"/>
    <x v="0"/>
    <x v="3"/>
    <x v="1"/>
    <x v="9"/>
    <x v="2"/>
  </r>
  <r>
    <x v="1616"/>
    <x v="9"/>
    <x v="0"/>
    <n v="59.7"/>
    <n v="59.7"/>
    <x v="60"/>
    <d v="2025-03-05T00:00:00"/>
    <x v="2"/>
    <x v="4"/>
    <x v="0"/>
    <x v="0"/>
    <x v="3"/>
    <x v="2"/>
    <x v="9"/>
    <x v="2"/>
  </r>
  <r>
    <x v="1617"/>
    <x v="6"/>
    <x v="0"/>
    <n v="48.3"/>
    <n v="48.3"/>
    <x v="60"/>
    <d v="2025-03-16T00:00:00"/>
    <x v="3"/>
    <x v="0"/>
    <x v="2"/>
    <x v="0"/>
    <x v="3"/>
    <x v="12"/>
    <x v="9"/>
    <x v="3"/>
  </r>
  <r>
    <x v="1618"/>
    <x v="8"/>
    <x v="2"/>
    <n v="45.5"/>
    <n v="136.5"/>
    <x v="60"/>
    <d v="2025-03-04T00:00:00"/>
    <x v="1"/>
    <x v="2"/>
    <x v="1"/>
    <x v="0"/>
    <x v="3"/>
    <x v="1"/>
    <x v="9"/>
    <x v="1"/>
  </r>
  <r>
    <x v="1619"/>
    <x v="9"/>
    <x v="6"/>
    <n v="51"/>
    <n v="1377"/>
    <x v="60"/>
    <d v="2025-03-02T00:00:00"/>
    <x v="2"/>
    <x v="2"/>
    <x v="0"/>
    <x v="0"/>
    <x v="3"/>
    <x v="7"/>
    <x v="9"/>
    <x v="2"/>
  </r>
  <r>
    <x v="1620"/>
    <x v="4"/>
    <x v="13"/>
    <n v="20.399999999999999"/>
    <n v="122.39999999999999"/>
    <x v="60"/>
    <d v="2025-03-03T00:00:00"/>
    <x v="1"/>
    <x v="2"/>
    <x v="0"/>
    <x v="0"/>
    <x v="3"/>
    <x v="3"/>
    <x v="9"/>
    <x v="1"/>
  </r>
  <r>
    <x v="1621"/>
    <x v="10"/>
    <x v="1"/>
    <n v="30.4"/>
    <n v="60.8"/>
    <x v="60"/>
    <d v="2025-03-04T00:00:00"/>
    <x v="1"/>
    <x v="2"/>
    <x v="0"/>
    <x v="0"/>
    <x v="3"/>
    <x v="1"/>
    <x v="9"/>
    <x v="1"/>
  </r>
  <r>
    <x v="1622"/>
    <x v="7"/>
    <x v="1"/>
    <n v="71.5"/>
    <n v="143"/>
    <x v="60"/>
    <d v="2025-03-06T00:00:00"/>
    <x v="2"/>
    <x v="0"/>
    <x v="0"/>
    <x v="0"/>
    <x v="3"/>
    <x v="5"/>
    <x v="9"/>
    <x v="2"/>
  </r>
  <r>
    <x v="1623"/>
    <x v="8"/>
    <x v="13"/>
    <n v="18"/>
    <n v="108"/>
    <x v="60"/>
    <d v="2025-03-03T00:00:00"/>
    <x v="3"/>
    <x v="1"/>
    <x v="2"/>
    <x v="0"/>
    <x v="6"/>
    <x v="3"/>
    <x v="9"/>
    <x v="3"/>
  </r>
  <r>
    <x v="1624"/>
    <x v="15"/>
    <x v="5"/>
    <n v="45.6"/>
    <n v="501.6"/>
    <x v="60"/>
    <d v="2025-03-03T00:00:00"/>
    <x v="3"/>
    <x v="1"/>
    <x v="1"/>
    <x v="0"/>
    <x v="7"/>
    <x v="3"/>
    <x v="9"/>
    <x v="3"/>
  </r>
  <r>
    <x v="1625"/>
    <x v="9"/>
    <x v="0"/>
    <n v="31.8"/>
    <n v="31.8"/>
    <x v="60"/>
    <d v="2025-03-06T00:00:00"/>
    <x v="2"/>
    <x v="0"/>
    <x v="2"/>
    <x v="0"/>
    <x v="7"/>
    <x v="5"/>
    <x v="9"/>
    <x v="2"/>
  </r>
  <r>
    <x v="1626"/>
    <x v="8"/>
    <x v="9"/>
    <n v="19.899999999999999"/>
    <n v="99.5"/>
    <x v="60"/>
    <d v="2025-03-03T00:00:00"/>
    <x v="2"/>
    <x v="1"/>
    <x v="0"/>
    <x v="0"/>
    <x v="7"/>
    <x v="3"/>
    <x v="9"/>
    <x v="2"/>
  </r>
  <r>
    <x v="1627"/>
    <x v="12"/>
    <x v="11"/>
    <n v="52.1"/>
    <n v="468.90000000000003"/>
    <x v="60"/>
    <d v="2025-03-04T00:00:00"/>
    <x v="1"/>
    <x v="0"/>
    <x v="0"/>
    <x v="0"/>
    <x v="8"/>
    <x v="1"/>
    <x v="9"/>
    <x v="1"/>
  </r>
  <r>
    <x v="1628"/>
    <x v="1"/>
    <x v="3"/>
    <n v="45.9"/>
    <n v="321.3"/>
    <x v="60"/>
    <d v="2025-03-03T00:00:00"/>
    <x v="1"/>
    <x v="0"/>
    <x v="1"/>
    <x v="0"/>
    <x v="8"/>
    <x v="3"/>
    <x v="9"/>
    <x v="1"/>
  </r>
  <r>
    <x v="1629"/>
    <x v="1"/>
    <x v="7"/>
    <n v="115.9"/>
    <n v="1159"/>
    <x v="60"/>
    <d v="2025-03-05T00:00:00"/>
    <x v="2"/>
    <x v="1"/>
    <x v="0"/>
    <x v="0"/>
    <x v="8"/>
    <x v="2"/>
    <x v="9"/>
    <x v="2"/>
  </r>
  <r>
    <x v="1630"/>
    <x v="6"/>
    <x v="11"/>
    <n v="86"/>
    <n v="774"/>
    <x v="60"/>
    <d v="2025-03-07T00:00:00"/>
    <x v="2"/>
    <x v="0"/>
    <x v="1"/>
    <x v="0"/>
    <x v="8"/>
    <x v="0"/>
    <x v="9"/>
    <x v="2"/>
  </r>
  <r>
    <x v="1631"/>
    <x v="7"/>
    <x v="3"/>
    <n v="73.599999999999994"/>
    <n v="515.19999999999993"/>
    <x v="60"/>
    <d v="2025-03-04T00:00:00"/>
    <x v="2"/>
    <x v="0"/>
    <x v="0"/>
    <x v="0"/>
    <x v="17"/>
    <x v="1"/>
    <x v="9"/>
    <x v="2"/>
  </r>
  <r>
    <x v="1632"/>
    <x v="10"/>
    <x v="2"/>
    <n v="26.7"/>
    <n v="80.099999999999994"/>
    <x v="60"/>
    <d v="2025-03-06T00:00:00"/>
    <x v="2"/>
    <x v="0"/>
    <x v="0"/>
    <x v="0"/>
    <x v="11"/>
    <x v="5"/>
    <x v="9"/>
    <x v="2"/>
  </r>
  <r>
    <x v="1633"/>
    <x v="8"/>
    <x v="3"/>
    <n v="46.6"/>
    <n v="326.2"/>
    <x v="60"/>
    <d v="2025-03-04T00:00:00"/>
    <x v="0"/>
    <x v="3"/>
    <x v="0"/>
    <x v="0"/>
    <x v="11"/>
    <x v="1"/>
    <x v="9"/>
    <x v="0"/>
  </r>
  <r>
    <x v="1634"/>
    <x v="3"/>
    <x v="2"/>
    <n v="84.6"/>
    <n v="253.79999999999998"/>
    <x v="60"/>
    <d v="2025-03-04T00:00:00"/>
    <x v="1"/>
    <x v="4"/>
    <x v="0"/>
    <x v="0"/>
    <x v="11"/>
    <x v="1"/>
    <x v="9"/>
    <x v="1"/>
  </r>
  <r>
    <x v="1635"/>
    <x v="7"/>
    <x v="21"/>
    <n v="41.5"/>
    <n v="581"/>
    <x v="60"/>
    <d v="2025-03-16T00:00:00"/>
    <x v="1"/>
    <x v="1"/>
    <x v="0"/>
    <x v="0"/>
    <x v="53"/>
    <x v="12"/>
    <x v="9"/>
    <x v="1"/>
  </r>
  <r>
    <x v="1636"/>
    <x v="8"/>
    <x v="0"/>
    <n v="32.799999999999997"/>
    <n v="32.799999999999997"/>
    <x v="60"/>
    <d v="2025-03-05T00:00:00"/>
    <x v="1"/>
    <x v="0"/>
    <x v="2"/>
    <x v="0"/>
    <x v="30"/>
    <x v="2"/>
    <x v="9"/>
    <x v="1"/>
  </r>
  <r>
    <x v="1637"/>
    <x v="4"/>
    <x v="3"/>
    <n v="46.7"/>
    <n v="326.90000000000003"/>
    <x v="60"/>
    <d v="2025-03-04T00:00:00"/>
    <x v="3"/>
    <x v="0"/>
    <x v="2"/>
    <x v="0"/>
    <x v="18"/>
    <x v="1"/>
    <x v="9"/>
    <x v="3"/>
  </r>
  <r>
    <x v="1638"/>
    <x v="15"/>
    <x v="3"/>
    <n v="21"/>
    <n v="147"/>
    <x v="60"/>
    <d v="2025-03-05T00:00:00"/>
    <x v="1"/>
    <x v="2"/>
    <x v="1"/>
    <x v="0"/>
    <x v="21"/>
    <x v="2"/>
    <x v="9"/>
    <x v="1"/>
  </r>
  <r>
    <x v="1639"/>
    <x v="5"/>
    <x v="3"/>
    <n v="29.4"/>
    <n v="205.79999999999998"/>
    <x v="60"/>
    <d v="2025-03-02T00:00:00"/>
    <x v="1"/>
    <x v="3"/>
    <x v="2"/>
    <x v="0"/>
    <x v="21"/>
    <x v="7"/>
    <x v="9"/>
    <x v="1"/>
  </r>
  <r>
    <x v="1640"/>
    <x v="15"/>
    <x v="1"/>
    <n v="32.299999999999997"/>
    <n v="64.599999999999994"/>
    <x v="60"/>
    <d v="2025-03-03T00:00:00"/>
    <x v="1"/>
    <x v="0"/>
    <x v="2"/>
    <x v="0"/>
    <x v="21"/>
    <x v="3"/>
    <x v="9"/>
    <x v="1"/>
  </r>
  <r>
    <x v="1641"/>
    <x v="6"/>
    <x v="0"/>
    <n v="42.2"/>
    <n v="42.2"/>
    <x v="61"/>
    <d v="2025-03-05T00:00:00"/>
    <x v="2"/>
    <x v="0"/>
    <x v="2"/>
    <x v="0"/>
    <x v="21"/>
    <x v="1"/>
    <x v="9"/>
    <x v="2"/>
  </r>
  <r>
    <x v="1642"/>
    <x v="6"/>
    <x v="0"/>
    <n v="53.7"/>
    <n v="53.7"/>
    <x v="61"/>
    <d v="2025-03-05T00:00:00"/>
    <x v="1"/>
    <x v="1"/>
    <x v="1"/>
    <x v="0"/>
    <x v="1"/>
    <x v="1"/>
    <x v="9"/>
    <x v="1"/>
  </r>
  <r>
    <x v="1643"/>
    <x v="2"/>
    <x v="1"/>
    <n v="123.9"/>
    <n v="247.8"/>
    <x v="61"/>
    <d v="2025-03-06T00:00:00"/>
    <x v="1"/>
    <x v="2"/>
    <x v="0"/>
    <x v="0"/>
    <x v="1"/>
    <x v="2"/>
    <x v="9"/>
    <x v="1"/>
  </r>
  <r>
    <x v="1644"/>
    <x v="4"/>
    <x v="2"/>
    <n v="35.9"/>
    <n v="107.69999999999999"/>
    <x v="61"/>
    <d v="2025-03-05T00:00:00"/>
    <x v="1"/>
    <x v="2"/>
    <x v="0"/>
    <x v="0"/>
    <x v="22"/>
    <x v="1"/>
    <x v="9"/>
    <x v="1"/>
  </r>
  <r>
    <x v="1645"/>
    <x v="4"/>
    <x v="1"/>
    <n v="23.6"/>
    <n v="47.2"/>
    <x v="61"/>
    <d v="2025-03-06T00:00:00"/>
    <x v="1"/>
    <x v="0"/>
    <x v="2"/>
    <x v="0"/>
    <x v="3"/>
    <x v="2"/>
    <x v="9"/>
    <x v="1"/>
  </r>
  <r>
    <x v="1646"/>
    <x v="15"/>
    <x v="36"/>
    <n v="45.7"/>
    <n v="1599.5"/>
    <x v="61"/>
    <d v="2025-03-04T00:00:00"/>
    <x v="1"/>
    <x v="0"/>
    <x v="1"/>
    <x v="0"/>
    <x v="3"/>
    <x v="3"/>
    <x v="9"/>
    <x v="1"/>
  </r>
  <r>
    <x v="1647"/>
    <x v="6"/>
    <x v="5"/>
    <n v="118.3"/>
    <n v="1301.3"/>
    <x v="61"/>
    <d v="2025-03-05T00:00:00"/>
    <x v="1"/>
    <x v="4"/>
    <x v="2"/>
    <x v="0"/>
    <x v="3"/>
    <x v="1"/>
    <x v="9"/>
    <x v="1"/>
  </r>
  <r>
    <x v="1648"/>
    <x v="19"/>
    <x v="0"/>
    <n v="36"/>
    <n v="36"/>
    <x v="61"/>
    <d v="2025-03-04T00:00:00"/>
    <x v="2"/>
    <x v="0"/>
    <x v="1"/>
    <x v="0"/>
    <x v="3"/>
    <x v="3"/>
    <x v="9"/>
    <x v="2"/>
  </r>
  <r>
    <x v="1649"/>
    <x v="8"/>
    <x v="1"/>
    <n v="37.1"/>
    <n v="74.2"/>
    <x v="61"/>
    <d v="2025-03-06T00:00:00"/>
    <x v="2"/>
    <x v="2"/>
    <x v="0"/>
    <x v="0"/>
    <x v="3"/>
    <x v="2"/>
    <x v="9"/>
    <x v="2"/>
  </r>
  <r>
    <x v="1650"/>
    <x v="18"/>
    <x v="2"/>
    <n v="45.1"/>
    <n v="135.30000000000001"/>
    <x v="61"/>
    <d v="2025-03-05T00:00:00"/>
    <x v="2"/>
    <x v="1"/>
    <x v="2"/>
    <x v="0"/>
    <x v="3"/>
    <x v="1"/>
    <x v="9"/>
    <x v="2"/>
  </r>
  <r>
    <x v="1651"/>
    <x v="5"/>
    <x v="27"/>
    <n v="37.9"/>
    <n v="606.4"/>
    <x v="61"/>
    <d v="2025-03-04T00:00:00"/>
    <x v="2"/>
    <x v="3"/>
    <x v="2"/>
    <x v="0"/>
    <x v="3"/>
    <x v="3"/>
    <x v="9"/>
    <x v="2"/>
  </r>
  <r>
    <x v="1652"/>
    <x v="2"/>
    <x v="1"/>
    <n v="121.6"/>
    <n v="243.2"/>
    <x v="61"/>
    <d v="2025-03-06T00:00:00"/>
    <x v="1"/>
    <x v="3"/>
    <x v="2"/>
    <x v="0"/>
    <x v="3"/>
    <x v="2"/>
    <x v="9"/>
    <x v="1"/>
  </r>
  <r>
    <x v="1653"/>
    <x v="5"/>
    <x v="3"/>
    <n v="38.200000000000003"/>
    <n v="267.40000000000003"/>
    <x v="61"/>
    <d v="2025-03-06T00:00:00"/>
    <x v="2"/>
    <x v="0"/>
    <x v="0"/>
    <x v="0"/>
    <x v="3"/>
    <x v="2"/>
    <x v="9"/>
    <x v="2"/>
  </r>
  <r>
    <x v="1654"/>
    <x v="17"/>
    <x v="1"/>
    <n v="37.200000000000003"/>
    <n v="74.400000000000006"/>
    <x v="61"/>
    <d v="2025-03-06T00:00:00"/>
    <x v="1"/>
    <x v="4"/>
    <x v="0"/>
    <x v="0"/>
    <x v="3"/>
    <x v="2"/>
    <x v="9"/>
    <x v="1"/>
  </r>
  <r>
    <x v="1655"/>
    <x v="2"/>
    <x v="12"/>
    <n v="115.7"/>
    <n v="462.8"/>
    <x v="61"/>
    <d v="2025-03-06T00:00:00"/>
    <x v="2"/>
    <x v="1"/>
    <x v="0"/>
    <x v="0"/>
    <x v="3"/>
    <x v="2"/>
    <x v="9"/>
    <x v="2"/>
  </r>
  <r>
    <x v="1656"/>
    <x v="2"/>
    <x v="13"/>
    <n v="99.4"/>
    <n v="596.40000000000009"/>
    <x v="61"/>
    <d v="2025-03-06T00:00:00"/>
    <x v="1"/>
    <x v="0"/>
    <x v="2"/>
    <x v="0"/>
    <x v="3"/>
    <x v="2"/>
    <x v="9"/>
    <x v="1"/>
  </r>
  <r>
    <x v="1657"/>
    <x v="11"/>
    <x v="0"/>
    <n v="38.700000000000003"/>
    <n v="38.700000000000003"/>
    <x v="61"/>
    <d v="2025-03-04T00:00:00"/>
    <x v="2"/>
    <x v="2"/>
    <x v="0"/>
    <x v="0"/>
    <x v="25"/>
    <x v="3"/>
    <x v="9"/>
    <x v="2"/>
  </r>
  <r>
    <x v="1658"/>
    <x v="4"/>
    <x v="1"/>
    <n v="35.5"/>
    <n v="71"/>
    <x v="61"/>
    <d v="2025-03-06T00:00:00"/>
    <x v="1"/>
    <x v="0"/>
    <x v="2"/>
    <x v="0"/>
    <x v="25"/>
    <x v="2"/>
    <x v="9"/>
    <x v="1"/>
  </r>
  <r>
    <x v="1659"/>
    <x v="2"/>
    <x v="12"/>
    <n v="93.3"/>
    <n v="373.2"/>
    <x v="61"/>
    <d v="2025-03-06T00:00:00"/>
    <x v="2"/>
    <x v="0"/>
    <x v="2"/>
    <x v="0"/>
    <x v="6"/>
    <x v="2"/>
    <x v="9"/>
    <x v="2"/>
  </r>
  <r>
    <x v="1660"/>
    <x v="16"/>
    <x v="0"/>
    <n v="31.4"/>
    <n v="31.4"/>
    <x v="61"/>
    <d v="2025-03-08T00:00:00"/>
    <x v="2"/>
    <x v="2"/>
    <x v="2"/>
    <x v="0"/>
    <x v="6"/>
    <x v="0"/>
    <x v="9"/>
    <x v="2"/>
  </r>
  <r>
    <x v="1661"/>
    <x v="1"/>
    <x v="0"/>
    <n v="85.9"/>
    <n v="85.9"/>
    <x v="61"/>
    <d v="2025-03-06T00:00:00"/>
    <x v="1"/>
    <x v="1"/>
    <x v="0"/>
    <x v="0"/>
    <x v="6"/>
    <x v="2"/>
    <x v="9"/>
    <x v="1"/>
  </r>
  <r>
    <x v="1662"/>
    <x v="6"/>
    <x v="8"/>
    <n v="41.7"/>
    <n v="333.6"/>
    <x v="61"/>
    <d v="2025-03-11T00:00:00"/>
    <x v="1"/>
    <x v="0"/>
    <x v="2"/>
    <x v="0"/>
    <x v="7"/>
    <x v="9"/>
    <x v="9"/>
    <x v="1"/>
  </r>
  <r>
    <x v="1663"/>
    <x v="8"/>
    <x v="12"/>
    <n v="31.5"/>
    <n v="126"/>
    <x v="61"/>
    <d v="2025-03-04T00:00:00"/>
    <x v="2"/>
    <x v="0"/>
    <x v="0"/>
    <x v="0"/>
    <x v="7"/>
    <x v="3"/>
    <x v="9"/>
    <x v="2"/>
  </r>
  <r>
    <x v="1664"/>
    <x v="8"/>
    <x v="1"/>
    <n v="36.299999999999997"/>
    <n v="72.599999999999994"/>
    <x v="61"/>
    <d v="2025-03-04T00:00:00"/>
    <x v="2"/>
    <x v="0"/>
    <x v="4"/>
    <x v="0"/>
    <x v="8"/>
    <x v="3"/>
    <x v="9"/>
    <x v="2"/>
  </r>
  <r>
    <x v="1665"/>
    <x v="8"/>
    <x v="2"/>
    <n v="33.4"/>
    <n v="100.19999999999999"/>
    <x v="61"/>
    <d v="2025-03-04T00:00:00"/>
    <x v="2"/>
    <x v="3"/>
    <x v="0"/>
    <x v="0"/>
    <x v="17"/>
    <x v="3"/>
    <x v="9"/>
    <x v="2"/>
  </r>
  <r>
    <x v="1666"/>
    <x v="2"/>
    <x v="2"/>
    <n v="65.2"/>
    <n v="195.60000000000002"/>
    <x v="61"/>
    <d v="2025-03-04T00:00:00"/>
    <x v="2"/>
    <x v="2"/>
    <x v="2"/>
    <x v="0"/>
    <x v="26"/>
    <x v="3"/>
    <x v="9"/>
    <x v="2"/>
  </r>
  <r>
    <x v="1667"/>
    <x v="8"/>
    <x v="11"/>
    <n v="65.5"/>
    <n v="589.5"/>
    <x v="61"/>
    <d v="2025-03-06T00:00:00"/>
    <x v="2"/>
    <x v="0"/>
    <x v="2"/>
    <x v="0"/>
    <x v="9"/>
    <x v="2"/>
    <x v="9"/>
    <x v="2"/>
  </r>
  <r>
    <x v="1668"/>
    <x v="6"/>
    <x v="2"/>
    <n v="52.8"/>
    <n v="158.39999999999998"/>
    <x v="61"/>
    <d v="2025-03-06T00:00:00"/>
    <x v="1"/>
    <x v="2"/>
    <x v="0"/>
    <x v="0"/>
    <x v="9"/>
    <x v="2"/>
    <x v="9"/>
    <x v="1"/>
  </r>
  <r>
    <x v="1669"/>
    <x v="9"/>
    <x v="9"/>
    <n v="24"/>
    <n v="120"/>
    <x v="61"/>
    <d v="2025-03-07T00:00:00"/>
    <x v="1"/>
    <x v="0"/>
    <x v="1"/>
    <x v="0"/>
    <x v="11"/>
    <x v="5"/>
    <x v="9"/>
    <x v="1"/>
  </r>
  <r>
    <x v="1670"/>
    <x v="3"/>
    <x v="2"/>
    <n v="51.2"/>
    <n v="153.60000000000002"/>
    <x v="61"/>
    <d v="2025-03-04T00:00:00"/>
    <x v="2"/>
    <x v="0"/>
    <x v="0"/>
    <x v="0"/>
    <x v="32"/>
    <x v="3"/>
    <x v="9"/>
    <x v="2"/>
  </r>
  <r>
    <x v="1671"/>
    <x v="5"/>
    <x v="2"/>
    <n v="28.3"/>
    <n v="84.9"/>
    <x v="61"/>
    <d v="2025-03-05T00:00:00"/>
    <x v="1"/>
    <x v="4"/>
    <x v="0"/>
    <x v="0"/>
    <x v="19"/>
    <x v="1"/>
    <x v="9"/>
    <x v="1"/>
  </r>
  <r>
    <x v="1672"/>
    <x v="6"/>
    <x v="2"/>
    <n v="42.3"/>
    <n v="126.89999999999999"/>
    <x v="61"/>
    <d v="2025-03-03T00:00:00"/>
    <x v="2"/>
    <x v="2"/>
    <x v="1"/>
    <x v="0"/>
    <x v="19"/>
    <x v="7"/>
    <x v="9"/>
    <x v="2"/>
  </r>
  <r>
    <x v="1673"/>
    <x v="2"/>
    <x v="8"/>
    <n v="163.30000000000001"/>
    <n v="1306.4000000000001"/>
    <x v="62"/>
    <d v="2025-03-05T00:00:00"/>
    <x v="2"/>
    <x v="1"/>
    <x v="0"/>
    <x v="0"/>
    <x v="13"/>
    <x v="3"/>
    <x v="9"/>
    <x v="2"/>
  </r>
  <r>
    <x v="1674"/>
    <x v="6"/>
    <x v="3"/>
    <n v="47.3"/>
    <n v="331.09999999999997"/>
    <x v="62"/>
    <d v="2025-03-07T00:00:00"/>
    <x v="2"/>
    <x v="4"/>
    <x v="1"/>
    <x v="0"/>
    <x v="21"/>
    <x v="2"/>
    <x v="9"/>
    <x v="2"/>
  </r>
  <r>
    <x v="1675"/>
    <x v="8"/>
    <x v="27"/>
    <n v="27.3"/>
    <n v="436.8"/>
    <x v="62"/>
    <d v="2025-03-05T00:00:00"/>
    <x v="2"/>
    <x v="2"/>
    <x v="0"/>
    <x v="0"/>
    <x v="21"/>
    <x v="3"/>
    <x v="9"/>
    <x v="2"/>
  </r>
  <r>
    <x v="1676"/>
    <x v="10"/>
    <x v="13"/>
    <n v="34.9"/>
    <n v="209.39999999999998"/>
    <x v="62"/>
    <d v="2025-03-15T00:00:00"/>
    <x v="2"/>
    <x v="0"/>
    <x v="0"/>
    <x v="0"/>
    <x v="21"/>
    <x v="11"/>
    <x v="9"/>
    <x v="2"/>
  </r>
  <r>
    <x v="1677"/>
    <x v="6"/>
    <x v="1"/>
    <n v="53.9"/>
    <n v="107.8"/>
    <x v="62"/>
    <d v="2025-03-07T00:00:00"/>
    <x v="3"/>
    <x v="0"/>
    <x v="4"/>
    <x v="0"/>
    <x v="1"/>
    <x v="2"/>
    <x v="9"/>
    <x v="3"/>
  </r>
  <r>
    <x v="1678"/>
    <x v="2"/>
    <x v="1"/>
    <n v="87.2"/>
    <n v="174.4"/>
    <x v="62"/>
    <d v="2025-03-05T00:00:00"/>
    <x v="2"/>
    <x v="0"/>
    <x v="1"/>
    <x v="0"/>
    <x v="1"/>
    <x v="3"/>
    <x v="9"/>
    <x v="2"/>
  </r>
  <r>
    <x v="1679"/>
    <x v="15"/>
    <x v="0"/>
    <n v="58.8"/>
    <n v="58.8"/>
    <x v="62"/>
    <d v="2025-03-06T00:00:00"/>
    <x v="2"/>
    <x v="2"/>
    <x v="0"/>
    <x v="0"/>
    <x v="44"/>
    <x v="1"/>
    <x v="9"/>
    <x v="2"/>
  </r>
  <r>
    <x v="1680"/>
    <x v="2"/>
    <x v="3"/>
    <n v="125.5"/>
    <n v="878.5"/>
    <x v="62"/>
    <d v="2025-03-05T00:00:00"/>
    <x v="1"/>
    <x v="2"/>
    <x v="4"/>
    <x v="0"/>
    <x v="22"/>
    <x v="3"/>
    <x v="9"/>
    <x v="1"/>
  </r>
  <r>
    <x v="1681"/>
    <x v="1"/>
    <x v="12"/>
    <n v="124.6"/>
    <n v="498.4"/>
    <x v="62"/>
    <d v="2025-03-06T00:00:00"/>
    <x v="2"/>
    <x v="0"/>
    <x v="1"/>
    <x v="0"/>
    <x v="22"/>
    <x v="1"/>
    <x v="9"/>
    <x v="2"/>
  </r>
  <r>
    <x v="1682"/>
    <x v="1"/>
    <x v="3"/>
    <n v="39.9"/>
    <n v="279.3"/>
    <x v="62"/>
    <d v="2025-03-05T00:00:00"/>
    <x v="1"/>
    <x v="2"/>
    <x v="1"/>
    <x v="0"/>
    <x v="3"/>
    <x v="3"/>
    <x v="9"/>
    <x v="1"/>
  </r>
  <r>
    <x v="1683"/>
    <x v="6"/>
    <x v="0"/>
    <n v="94.6"/>
    <n v="94.6"/>
    <x v="62"/>
    <d v="2025-03-18T00:00:00"/>
    <x v="2"/>
    <x v="0"/>
    <x v="1"/>
    <x v="0"/>
    <x v="3"/>
    <x v="12"/>
    <x v="9"/>
    <x v="2"/>
  </r>
  <r>
    <x v="1684"/>
    <x v="2"/>
    <x v="1"/>
    <n v="149.6"/>
    <n v="299.2"/>
    <x v="62"/>
    <d v="2025-03-05T00:00:00"/>
    <x v="2"/>
    <x v="0"/>
    <x v="0"/>
    <x v="0"/>
    <x v="3"/>
    <x v="3"/>
    <x v="9"/>
    <x v="2"/>
  </r>
  <r>
    <x v="1685"/>
    <x v="8"/>
    <x v="0"/>
    <n v="52.2"/>
    <n v="52.2"/>
    <x v="62"/>
    <d v="2025-03-05T00:00:00"/>
    <x v="0"/>
    <x v="1"/>
    <x v="0"/>
    <x v="0"/>
    <x v="3"/>
    <x v="3"/>
    <x v="9"/>
    <x v="0"/>
  </r>
  <r>
    <x v="1686"/>
    <x v="6"/>
    <x v="1"/>
    <n v="96.5"/>
    <n v="193"/>
    <x v="62"/>
    <d v="2025-03-05T00:00:00"/>
    <x v="2"/>
    <x v="1"/>
    <x v="1"/>
    <x v="0"/>
    <x v="3"/>
    <x v="3"/>
    <x v="9"/>
    <x v="2"/>
  </r>
  <r>
    <x v="1687"/>
    <x v="8"/>
    <x v="1"/>
    <n v="79.8"/>
    <n v="159.6"/>
    <x v="62"/>
    <d v="2025-03-06T00:00:00"/>
    <x v="2"/>
    <x v="0"/>
    <x v="1"/>
    <x v="0"/>
    <x v="3"/>
    <x v="1"/>
    <x v="9"/>
    <x v="2"/>
  </r>
  <r>
    <x v="1688"/>
    <x v="8"/>
    <x v="2"/>
    <n v="35.6"/>
    <n v="106.80000000000001"/>
    <x v="62"/>
    <d v="2025-03-05T00:00:00"/>
    <x v="2"/>
    <x v="2"/>
    <x v="0"/>
    <x v="0"/>
    <x v="3"/>
    <x v="3"/>
    <x v="9"/>
    <x v="2"/>
  </r>
  <r>
    <x v="1689"/>
    <x v="16"/>
    <x v="0"/>
    <n v="50.2"/>
    <n v="50.2"/>
    <x v="62"/>
    <d v="2025-03-05T00:00:00"/>
    <x v="2"/>
    <x v="1"/>
    <x v="2"/>
    <x v="0"/>
    <x v="3"/>
    <x v="3"/>
    <x v="9"/>
    <x v="2"/>
  </r>
  <r>
    <x v="1690"/>
    <x v="1"/>
    <x v="2"/>
    <n v="55.3"/>
    <n v="165.89999999999998"/>
    <x v="62"/>
    <d v="2025-03-07T00:00:00"/>
    <x v="2"/>
    <x v="0"/>
    <x v="4"/>
    <x v="0"/>
    <x v="40"/>
    <x v="2"/>
    <x v="9"/>
    <x v="2"/>
  </r>
  <r>
    <x v="1691"/>
    <x v="6"/>
    <x v="3"/>
    <n v="104.5"/>
    <n v="731.5"/>
    <x v="62"/>
    <d v="2025-03-08T00:00:00"/>
    <x v="2"/>
    <x v="1"/>
    <x v="0"/>
    <x v="0"/>
    <x v="7"/>
    <x v="5"/>
    <x v="9"/>
    <x v="2"/>
  </r>
  <r>
    <x v="1692"/>
    <x v="6"/>
    <x v="12"/>
    <n v="66.5"/>
    <n v="266"/>
    <x v="62"/>
    <d v="2025-03-06T00:00:00"/>
    <x v="1"/>
    <x v="1"/>
    <x v="0"/>
    <x v="0"/>
    <x v="7"/>
    <x v="1"/>
    <x v="9"/>
    <x v="1"/>
  </r>
  <r>
    <x v="1693"/>
    <x v="10"/>
    <x v="8"/>
    <n v="38.299999999999997"/>
    <n v="306.39999999999998"/>
    <x v="62"/>
    <d v="2025-03-05T00:00:00"/>
    <x v="2"/>
    <x v="0"/>
    <x v="0"/>
    <x v="0"/>
    <x v="7"/>
    <x v="3"/>
    <x v="9"/>
    <x v="2"/>
  </r>
  <r>
    <x v="1694"/>
    <x v="6"/>
    <x v="2"/>
    <n v="63.8"/>
    <n v="191.39999999999998"/>
    <x v="62"/>
    <d v="2025-03-07T00:00:00"/>
    <x v="2"/>
    <x v="1"/>
    <x v="0"/>
    <x v="0"/>
    <x v="8"/>
    <x v="2"/>
    <x v="9"/>
    <x v="2"/>
  </r>
  <r>
    <x v="1695"/>
    <x v="15"/>
    <x v="0"/>
    <n v="21.4"/>
    <n v="21.4"/>
    <x v="62"/>
    <d v="2025-03-04T00:00:00"/>
    <x v="1"/>
    <x v="4"/>
    <x v="0"/>
    <x v="0"/>
    <x v="8"/>
    <x v="7"/>
    <x v="9"/>
    <x v="1"/>
  </r>
  <r>
    <x v="1696"/>
    <x v="8"/>
    <x v="12"/>
    <n v="44.1"/>
    <n v="176.4"/>
    <x v="62"/>
    <d v="2025-03-06T00:00:00"/>
    <x v="2"/>
    <x v="2"/>
    <x v="0"/>
    <x v="0"/>
    <x v="8"/>
    <x v="1"/>
    <x v="9"/>
    <x v="2"/>
  </r>
  <r>
    <x v="1697"/>
    <x v="5"/>
    <x v="8"/>
    <n v="57.6"/>
    <n v="460.8"/>
    <x v="62"/>
    <d v="2025-03-06T00:00:00"/>
    <x v="1"/>
    <x v="1"/>
    <x v="2"/>
    <x v="0"/>
    <x v="8"/>
    <x v="1"/>
    <x v="9"/>
    <x v="1"/>
  </r>
  <r>
    <x v="1698"/>
    <x v="9"/>
    <x v="1"/>
    <n v="20.3"/>
    <n v="40.6"/>
    <x v="62"/>
    <d v="2025-03-10T00:00:00"/>
    <x v="2"/>
    <x v="3"/>
    <x v="0"/>
    <x v="0"/>
    <x v="8"/>
    <x v="4"/>
    <x v="9"/>
    <x v="2"/>
  </r>
  <r>
    <x v="1699"/>
    <x v="8"/>
    <x v="0"/>
    <n v="22.9"/>
    <n v="22.9"/>
    <x v="62"/>
    <d v="2025-03-06T00:00:00"/>
    <x v="2"/>
    <x v="2"/>
    <x v="2"/>
    <x v="0"/>
    <x v="8"/>
    <x v="1"/>
    <x v="9"/>
    <x v="2"/>
  </r>
  <r>
    <x v="1700"/>
    <x v="6"/>
    <x v="12"/>
    <n v="105.9"/>
    <n v="423.6"/>
    <x v="62"/>
    <d v="2025-03-05T00:00:00"/>
    <x v="2"/>
    <x v="1"/>
    <x v="2"/>
    <x v="0"/>
    <x v="17"/>
    <x v="3"/>
    <x v="9"/>
    <x v="2"/>
  </r>
  <r>
    <x v="1701"/>
    <x v="1"/>
    <x v="11"/>
    <n v="37.4"/>
    <n v="336.59999999999997"/>
    <x v="62"/>
    <d v="2025-03-08T00:00:00"/>
    <x v="1"/>
    <x v="1"/>
    <x v="0"/>
    <x v="0"/>
    <x v="11"/>
    <x v="5"/>
    <x v="9"/>
    <x v="1"/>
  </r>
  <r>
    <x v="1702"/>
    <x v="18"/>
    <x v="1"/>
    <n v="79"/>
    <n v="158"/>
    <x v="62"/>
    <d v="2025-03-05T00:00:00"/>
    <x v="1"/>
    <x v="2"/>
    <x v="0"/>
    <x v="0"/>
    <x v="28"/>
    <x v="3"/>
    <x v="9"/>
    <x v="1"/>
  </r>
  <r>
    <x v="1703"/>
    <x v="0"/>
    <x v="2"/>
    <n v="19.3"/>
    <n v="57.900000000000006"/>
    <x v="62"/>
    <d v="2025-03-05T00:00:00"/>
    <x v="2"/>
    <x v="4"/>
    <x v="0"/>
    <x v="0"/>
    <x v="21"/>
    <x v="3"/>
    <x v="9"/>
    <x v="2"/>
  </r>
  <r>
    <x v="1704"/>
    <x v="0"/>
    <x v="0"/>
    <n v="24"/>
    <n v="24"/>
    <x v="62"/>
    <d v="2025-03-05T00:00:00"/>
    <x v="2"/>
    <x v="1"/>
    <x v="0"/>
    <x v="0"/>
    <x v="1"/>
    <x v="3"/>
    <x v="9"/>
    <x v="2"/>
  </r>
  <r>
    <x v="1705"/>
    <x v="6"/>
    <x v="9"/>
    <n v="71.3"/>
    <n v="356.5"/>
    <x v="62"/>
    <d v="2025-03-07T00:00:00"/>
    <x v="2"/>
    <x v="2"/>
    <x v="0"/>
    <x v="0"/>
    <x v="2"/>
    <x v="2"/>
    <x v="9"/>
    <x v="2"/>
  </r>
  <r>
    <x v="1706"/>
    <x v="5"/>
    <x v="1"/>
    <n v="166.2"/>
    <n v="332.4"/>
    <x v="62"/>
    <d v="2025-03-05T00:00:00"/>
    <x v="1"/>
    <x v="0"/>
    <x v="2"/>
    <x v="0"/>
    <x v="50"/>
    <x v="3"/>
    <x v="9"/>
    <x v="1"/>
  </r>
  <r>
    <x v="1707"/>
    <x v="6"/>
    <x v="0"/>
    <n v="81"/>
    <n v="81"/>
    <x v="62"/>
    <d v="2025-03-05T00:00:00"/>
    <x v="2"/>
    <x v="2"/>
    <x v="1"/>
    <x v="0"/>
    <x v="3"/>
    <x v="3"/>
    <x v="9"/>
    <x v="2"/>
  </r>
  <r>
    <x v="1708"/>
    <x v="10"/>
    <x v="13"/>
    <n v="38.5"/>
    <n v="231"/>
    <x v="62"/>
    <d v="2025-03-08T00:00:00"/>
    <x v="2"/>
    <x v="0"/>
    <x v="0"/>
    <x v="0"/>
    <x v="3"/>
    <x v="5"/>
    <x v="9"/>
    <x v="2"/>
  </r>
  <r>
    <x v="1709"/>
    <x v="6"/>
    <x v="0"/>
    <n v="86.1"/>
    <n v="86.1"/>
    <x v="62"/>
    <d v="2025-03-06T00:00:00"/>
    <x v="2"/>
    <x v="3"/>
    <x v="0"/>
    <x v="0"/>
    <x v="3"/>
    <x v="1"/>
    <x v="9"/>
    <x v="2"/>
  </r>
  <r>
    <x v="1710"/>
    <x v="2"/>
    <x v="9"/>
    <n v="51"/>
    <n v="255"/>
    <x v="62"/>
    <d v="2025-03-05T00:00:00"/>
    <x v="1"/>
    <x v="0"/>
    <x v="1"/>
    <x v="0"/>
    <x v="3"/>
    <x v="3"/>
    <x v="9"/>
    <x v="1"/>
  </r>
  <r>
    <x v="1711"/>
    <x v="3"/>
    <x v="9"/>
    <n v="115.4"/>
    <n v="577"/>
    <x v="62"/>
    <d v="2025-03-05T00:00:00"/>
    <x v="1"/>
    <x v="0"/>
    <x v="0"/>
    <x v="0"/>
    <x v="3"/>
    <x v="3"/>
    <x v="9"/>
    <x v="1"/>
  </r>
  <r>
    <x v="1712"/>
    <x v="6"/>
    <x v="12"/>
    <n v="176.5"/>
    <n v="706"/>
    <x v="62"/>
    <d v="2025-03-05T00:00:00"/>
    <x v="2"/>
    <x v="2"/>
    <x v="2"/>
    <x v="0"/>
    <x v="3"/>
    <x v="3"/>
    <x v="9"/>
    <x v="2"/>
  </r>
  <r>
    <x v="1713"/>
    <x v="7"/>
    <x v="2"/>
    <n v="48.9"/>
    <n v="146.69999999999999"/>
    <x v="62"/>
    <d v="2025-03-05T00:00:00"/>
    <x v="1"/>
    <x v="4"/>
    <x v="0"/>
    <x v="0"/>
    <x v="3"/>
    <x v="3"/>
    <x v="9"/>
    <x v="1"/>
  </r>
  <r>
    <x v="1714"/>
    <x v="8"/>
    <x v="2"/>
    <n v="18.100000000000001"/>
    <n v="54.300000000000004"/>
    <x v="62"/>
    <d v="2025-03-11T00:00:00"/>
    <x v="2"/>
    <x v="1"/>
    <x v="2"/>
    <x v="0"/>
    <x v="29"/>
    <x v="6"/>
    <x v="9"/>
    <x v="2"/>
  </r>
  <r>
    <x v="1715"/>
    <x v="2"/>
    <x v="1"/>
    <n v="118.5"/>
    <n v="237"/>
    <x v="62"/>
    <d v="2025-03-07T00:00:00"/>
    <x v="1"/>
    <x v="1"/>
    <x v="2"/>
    <x v="0"/>
    <x v="16"/>
    <x v="2"/>
    <x v="9"/>
    <x v="1"/>
  </r>
  <r>
    <x v="1716"/>
    <x v="15"/>
    <x v="3"/>
    <n v="59.1"/>
    <n v="413.7"/>
    <x v="62"/>
    <d v="2025-03-05T00:00:00"/>
    <x v="2"/>
    <x v="3"/>
    <x v="0"/>
    <x v="0"/>
    <x v="25"/>
    <x v="3"/>
    <x v="9"/>
    <x v="2"/>
  </r>
  <r>
    <x v="1717"/>
    <x v="4"/>
    <x v="0"/>
    <n v="21.2"/>
    <n v="21.2"/>
    <x v="62"/>
    <d v="2025-03-05T00:00:00"/>
    <x v="2"/>
    <x v="0"/>
    <x v="1"/>
    <x v="0"/>
    <x v="6"/>
    <x v="3"/>
    <x v="9"/>
    <x v="2"/>
  </r>
  <r>
    <x v="1718"/>
    <x v="6"/>
    <x v="1"/>
    <n v="68.8"/>
    <n v="137.6"/>
    <x v="62"/>
    <d v="2025-03-09T00:00:00"/>
    <x v="2"/>
    <x v="3"/>
    <x v="2"/>
    <x v="0"/>
    <x v="6"/>
    <x v="0"/>
    <x v="9"/>
    <x v="2"/>
  </r>
  <r>
    <x v="1719"/>
    <x v="6"/>
    <x v="1"/>
    <n v="65.400000000000006"/>
    <n v="130.80000000000001"/>
    <x v="62"/>
    <d v="2025-03-08T00:00:00"/>
    <x v="2"/>
    <x v="0"/>
    <x v="0"/>
    <x v="0"/>
    <x v="6"/>
    <x v="5"/>
    <x v="9"/>
    <x v="2"/>
  </r>
  <r>
    <x v="1720"/>
    <x v="12"/>
    <x v="9"/>
    <n v="66.3"/>
    <n v="331.5"/>
    <x v="63"/>
    <d v="2025-03-08T00:00:00"/>
    <x v="2"/>
    <x v="4"/>
    <x v="0"/>
    <x v="0"/>
    <x v="6"/>
    <x v="2"/>
    <x v="9"/>
    <x v="2"/>
  </r>
  <r>
    <x v="1721"/>
    <x v="6"/>
    <x v="2"/>
    <n v="97.5"/>
    <n v="292.5"/>
    <x v="63"/>
    <d v="2025-03-05T00:00:00"/>
    <x v="1"/>
    <x v="3"/>
    <x v="0"/>
    <x v="0"/>
    <x v="8"/>
    <x v="7"/>
    <x v="9"/>
    <x v="1"/>
  </r>
  <r>
    <x v="1722"/>
    <x v="1"/>
    <x v="1"/>
    <n v="44"/>
    <n v="88"/>
    <x v="63"/>
    <d v="2025-03-08T00:00:00"/>
    <x v="2"/>
    <x v="1"/>
    <x v="2"/>
    <x v="0"/>
    <x v="8"/>
    <x v="2"/>
    <x v="9"/>
    <x v="2"/>
  </r>
  <r>
    <x v="1723"/>
    <x v="0"/>
    <x v="0"/>
    <n v="21.9"/>
    <n v="21.9"/>
    <x v="63"/>
    <d v="2025-03-06T00:00:00"/>
    <x v="1"/>
    <x v="0"/>
    <x v="0"/>
    <x v="0"/>
    <x v="8"/>
    <x v="3"/>
    <x v="9"/>
    <x v="1"/>
  </r>
  <r>
    <x v="1724"/>
    <x v="4"/>
    <x v="3"/>
    <n v="21.5"/>
    <n v="150.5"/>
    <x v="63"/>
    <d v="2025-03-07T00:00:00"/>
    <x v="2"/>
    <x v="1"/>
    <x v="2"/>
    <x v="0"/>
    <x v="9"/>
    <x v="1"/>
    <x v="9"/>
    <x v="2"/>
  </r>
  <r>
    <x v="1725"/>
    <x v="12"/>
    <x v="13"/>
    <n v="133"/>
    <n v="798"/>
    <x v="63"/>
    <d v="2025-03-06T00:00:00"/>
    <x v="3"/>
    <x v="0"/>
    <x v="2"/>
    <x v="0"/>
    <x v="10"/>
    <x v="3"/>
    <x v="9"/>
    <x v="3"/>
  </r>
  <r>
    <x v="1726"/>
    <x v="8"/>
    <x v="1"/>
    <n v="47.7"/>
    <n v="95.4"/>
    <x v="63"/>
    <d v="2025-03-09T00:00:00"/>
    <x v="1"/>
    <x v="0"/>
    <x v="2"/>
    <x v="0"/>
    <x v="10"/>
    <x v="5"/>
    <x v="9"/>
    <x v="1"/>
  </r>
  <r>
    <x v="1727"/>
    <x v="16"/>
    <x v="2"/>
    <n v="58.1"/>
    <n v="174.3"/>
    <x v="63"/>
    <d v="2025-03-06T00:00:00"/>
    <x v="2"/>
    <x v="0"/>
    <x v="0"/>
    <x v="0"/>
    <x v="11"/>
    <x v="3"/>
    <x v="9"/>
    <x v="2"/>
  </r>
  <r>
    <x v="1728"/>
    <x v="12"/>
    <x v="12"/>
    <n v="66.599999999999994"/>
    <n v="266.39999999999998"/>
    <x v="63"/>
    <d v="2025-03-06T00:00:00"/>
    <x v="0"/>
    <x v="0"/>
    <x v="0"/>
    <x v="0"/>
    <x v="11"/>
    <x v="3"/>
    <x v="9"/>
    <x v="0"/>
  </r>
  <r>
    <x v="1729"/>
    <x v="9"/>
    <x v="0"/>
    <n v="24.1"/>
    <n v="24.1"/>
    <x v="63"/>
    <d v="2025-03-08T00:00:00"/>
    <x v="1"/>
    <x v="2"/>
    <x v="1"/>
    <x v="0"/>
    <x v="19"/>
    <x v="2"/>
    <x v="9"/>
    <x v="1"/>
  </r>
  <r>
    <x v="1730"/>
    <x v="10"/>
    <x v="9"/>
    <n v="51.5"/>
    <n v="257.5"/>
    <x v="63"/>
    <d v="2025-03-10T00:00:00"/>
    <x v="2"/>
    <x v="0"/>
    <x v="0"/>
    <x v="0"/>
    <x v="13"/>
    <x v="0"/>
    <x v="9"/>
    <x v="2"/>
  </r>
  <r>
    <x v="1731"/>
    <x v="0"/>
    <x v="5"/>
    <n v="25.8"/>
    <n v="283.8"/>
    <x v="63"/>
    <d v="2025-03-09T00:00:00"/>
    <x v="2"/>
    <x v="3"/>
    <x v="4"/>
    <x v="0"/>
    <x v="21"/>
    <x v="5"/>
    <x v="9"/>
    <x v="2"/>
  </r>
  <r>
    <x v="1732"/>
    <x v="9"/>
    <x v="12"/>
    <n v="47.7"/>
    <n v="190.8"/>
    <x v="63"/>
    <d v="2025-03-05T00:00:00"/>
    <x v="2"/>
    <x v="0"/>
    <x v="1"/>
    <x v="0"/>
    <x v="21"/>
    <x v="7"/>
    <x v="9"/>
    <x v="2"/>
  </r>
  <r>
    <x v="1733"/>
    <x v="7"/>
    <x v="9"/>
    <n v="73.599999999999994"/>
    <n v="368"/>
    <x v="63"/>
    <d v="2025-03-09T00:00:00"/>
    <x v="1"/>
    <x v="1"/>
    <x v="0"/>
    <x v="0"/>
    <x v="21"/>
    <x v="5"/>
    <x v="9"/>
    <x v="1"/>
  </r>
  <r>
    <x v="1734"/>
    <x v="5"/>
    <x v="3"/>
    <n v="91.2"/>
    <n v="638.4"/>
    <x v="63"/>
    <d v="2025-03-06T00:00:00"/>
    <x v="1"/>
    <x v="1"/>
    <x v="2"/>
    <x v="0"/>
    <x v="21"/>
    <x v="3"/>
    <x v="9"/>
    <x v="1"/>
  </r>
  <r>
    <x v="1735"/>
    <x v="1"/>
    <x v="8"/>
    <n v="36.200000000000003"/>
    <n v="289.60000000000002"/>
    <x v="63"/>
    <d v="2025-03-05T00:00:00"/>
    <x v="1"/>
    <x v="2"/>
    <x v="2"/>
    <x v="0"/>
    <x v="1"/>
    <x v="7"/>
    <x v="9"/>
    <x v="1"/>
  </r>
  <r>
    <x v="1736"/>
    <x v="9"/>
    <x v="8"/>
    <n v="98"/>
    <n v="784"/>
    <x v="63"/>
    <d v="2025-03-09T00:00:00"/>
    <x v="2"/>
    <x v="2"/>
    <x v="0"/>
    <x v="0"/>
    <x v="2"/>
    <x v="5"/>
    <x v="9"/>
    <x v="2"/>
  </r>
  <r>
    <x v="1737"/>
    <x v="1"/>
    <x v="8"/>
    <n v="43.6"/>
    <n v="348.8"/>
    <x v="63"/>
    <d v="2025-03-06T00:00:00"/>
    <x v="2"/>
    <x v="2"/>
    <x v="0"/>
    <x v="0"/>
    <x v="22"/>
    <x v="3"/>
    <x v="9"/>
    <x v="2"/>
  </r>
  <r>
    <x v="1738"/>
    <x v="8"/>
    <x v="7"/>
    <n v="37.799999999999997"/>
    <n v="378"/>
    <x v="63"/>
    <d v="2025-03-05T00:00:00"/>
    <x v="3"/>
    <x v="0"/>
    <x v="0"/>
    <x v="0"/>
    <x v="50"/>
    <x v="7"/>
    <x v="9"/>
    <x v="3"/>
  </r>
  <r>
    <x v="1739"/>
    <x v="17"/>
    <x v="9"/>
    <n v="63.7"/>
    <n v="318.5"/>
    <x v="63"/>
    <d v="2025-03-08T00:00:00"/>
    <x v="2"/>
    <x v="2"/>
    <x v="1"/>
    <x v="0"/>
    <x v="3"/>
    <x v="2"/>
    <x v="9"/>
    <x v="2"/>
  </r>
  <r>
    <x v="1740"/>
    <x v="5"/>
    <x v="11"/>
    <n v="62.9"/>
    <n v="566.1"/>
    <x v="63"/>
    <d v="2025-03-10T00:00:00"/>
    <x v="1"/>
    <x v="3"/>
    <x v="2"/>
    <x v="0"/>
    <x v="3"/>
    <x v="0"/>
    <x v="9"/>
    <x v="1"/>
  </r>
  <r>
    <x v="1741"/>
    <x v="6"/>
    <x v="3"/>
    <n v="61.7"/>
    <n v="431.90000000000003"/>
    <x v="63"/>
    <d v="2025-03-08T00:00:00"/>
    <x v="2"/>
    <x v="2"/>
    <x v="2"/>
    <x v="0"/>
    <x v="3"/>
    <x v="2"/>
    <x v="9"/>
    <x v="2"/>
  </r>
  <r>
    <x v="1742"/>
    <x v="18"/>
    <x v="21"/>
    <n v="36.5"/>
    <n v="511"/>
    <x v="63"/>
    <d v="2025-03-06T00:00:00"/>
    <x v="1"/>
    <x v="0"/>
    <x v="2"/>
    <x v="0"/>
    <x v="3"/>
    <x v="3"/>
    <x v="9"/>
    <x v="1"/>
  </r>
  <r>
    <x v="1743"/>
    <x v="11"/>
    <x v="2"/>
    <n v="98.6"/>
    <n v="295.79999999999995"/>
    <x v="63"/>
    <d v="2025-03-08T00:00:00"/>
    <x v="3"/>
    <x v="0"/>
    <x v="4"/>
    <x v="0"/>
    <x v="3"/>
    <x v="2"/>
    <x v="9"/>
    <x v="3"/>
  </r>
  <r>
    <x v="1744"/>
    <x v="8"/>
    <x v="1"/>
    <n v="19.2"/>
    <n v="38.4"/>
    <x v="63"/>
    <d v="2025-03-15T00:00:00"/>
    <x v="1"/>
    <x v="0"/>
    <x v="0"/>
    <x v="0"/>
    <x v="3"/>
    <x v="14"/>
    <x v="9"/>
    <x v="1"/>
  </r>
  <r>
    <x v="1745"/>
    <x v="3"/>
    <x v="13"/>
    <n v="55.6"/>
    <n v="333.6"/>
    <x v="63"/>
    <d v="2025-03-09T00:00:00"/>
    <x v="2"/>
    <x v="0"/>
    <x v="2"/>
    <x v="0"/>
    <x v="3"/>
    <x v="5"/>
    <x v="9"/>
    <x v="2"/>
  </r>
  <r>
    <x v="1746"/>
    <x v="5"/>
    <x v="13"/>
    <n v="56.4"/>
    <n v="338.4"/>
    <x v="63"/>
    <d v="2025-03-06T00:00:00"/>
    <x v="2"/>
    <x v="1"/>
    <x v="0"/>
    <x v="0"/>
    <x v="3"/>
    <x v="3"/>
    <x v="9"/>
    <x v="2"/>
  </r>
  <r>
    <x v="1747"/>
    <x v="4"/>
    <x v="8"/>
    <n v="43.1"/>
    <n v="344.8"/>
    <x v="63"/>
    <d v="2025-03-09T00:00:00"/>
    <x v="2"/>
    <x v="4"/>
    <x v="0"/>
    <x v="0"/>
    <x v="3"/>
    <x v="5"/>
    <x v="9"/>
    <x v="2"/>
  </r>
  <r>
    <x v="1748"/>
    <x v="1"/>
    <x v="1"/>
    <n v="77.3"/>
    <n v="154.6"/>
    <x v="63"/>
    <d v="2025-03-07T00:00:00"/>
    <x v="1"/>
    <x v="0"/>
    <x v="0"/>
    <x v="0"/>
    <x v="6"/>
    <x v="1"/>
    <x v="9"/>
    <x v="1"/>
  </r>
  <r>
    <x v="1749"/>
    <x v="9"/>
    <x v="8"/>
    <n v="38.299999999999997"/>
    <n v="306.39999999999998"/>
    <x v="63"/>
    <d v="2025-03-06T00:00:00"/>
    <x v="1"/>
    <x v="0"/>
    <x v="0"/>
    <x v="0"/>
    <x v="7"/>
    <x v="3"/>
    <x v="9"/>
    <x v="1"/>
  </r>
  <r>
    <x v="1750"/>
    <x v="0"/>
    <x v="3"/>
    <n v="16.8"/>
    <n v="117.60000000000001"/>
    <x v="63"/>
    <d v="2025-03-08T00:00:00"/>
    <x v="1"/>
    <x v="2"/>
    <x v="1"/>
    <x v="0"/>
    <x v="8"/>
    <x v="2"/>
    <x v="9"/>
    <x v="1"/>
  </r>
  <r>
    <x v="1751"/>
    <x v="2"/>
    <x v="2"/>
    <n v="63.2"/>
    <n v="189.60000000000002"/>
    <x v="63"/>
    <d v="2025-03-06T00:00:00"/>
    <x v="2"/>
    <x v="0"/>
    <x v="2"/>
    <x v="0"/>
    <x v="8"/>
    <x v="3"/>
    <x v="9"/>
    <x v="2"/>
  </r>
  <r>
    <x v="1752"/>
    <x v="14"/>
    <x v="44"/>
    <n v="39.700000000000003"/>
    <n v="913.1"/>
    <x v="63"/>
    <d v="2025-03-06T00:00:00"/>
    <x v="1"/>
    <x v="0"/>
    <x v="0"/>
    <x v="0"/>
    <x v="8"/>
    <x v="3"/>
    <x v="9"/>
    <x v="1"/>
  </r>
  <r>
    <x v="1753"/>
    <x v="10"/>
    <x v="2"/>
    <n v="45.8"/>
    <n v="137.39999999999998"/>
    <x v="63"/>
    <d v="2025-03-06T00:00:00"/>
    <x v="2"/>
    <x v="1"/>
    <x v="2"/>
    <x v="0"/>
    <x v="8"/>
    <x v="3"/>
    <x v="9"/>
    <x v="2"/>
  </r>
  <r>
    <x v="1754"/>
    <x v="0"/>
    <x v="13"/>
    <n v="12.4"/>
    <n v="74.400000000000006"/>
    <x v="63"/>
    <d v="2025-03-08T00:00:00"/>
    <x v="1"/>
    <x v="0"/>
    <x v="0"/>
    <x v="0"/>
    <x v="8"/>
    <x v="2"/>
    <x v="9"/>
    <x v="1"/>
  </r>
  <r>
    <x v="1755"/>
    <x v="14"/>
    <x v="2"/>
    <n v="50.8"/>
    <n v="152.39999999999998"/>
    <x v="64"/>
    <d v="2025-03-06T00:00:00"/>
    <x v="2"/>
    <x v="4"/>
    <x v="0"/>
    <x v="0"/>
    <x v="17"/>
    <x v="7"/>
    <x v="9"/>
    <x v="2"/>
  </r>
  <r>
    <x v="1756"/>
    <x v="9"/>
    <x v="0"/>
    <n v="76"/>
    <n v="76"/>
    <x v="64"/>
    <d v="2025-03-10T00:00:00"/>
    <x v="3"/>
    <x v="2"/>
    <x v="2"/>
    <x v="0"/>
    <x v="17"/>
    <x v="5"/>
    <x v="9"/>
    <x v="3"/>
  </r>
  <r>
    <x v="1757"/>
    <x v="1"/>
    <x v="1"/>
    <n v="51.9"/>
    <n v="103.8"/>
    <x v="64"/>
    <d v="2025-03-07T00:00:00"/>
    <x v="1"/>
    <x v="1"/>
    <x v="2"/>
    <x v="0"/>
    <x v="26"/>
    <x v="3"/>
    <x v="9"/>
    <x v="1"/>
  </r>
  <r>
    <x v="1758"/>
    <x v="2"/>
    <x v="1"/>
    <n v="93.4"/>
    <n v="186.8"/>
    <x v="64"/>
    <d v="2025-03-13T00:00:00"/>
    <x v="1"/>
    <x v="0"/>
    <x v="3"/>
    <x v="0"/>
    <x v="11"/>
    <x v="6"/>
    <x v="9"/>
    <x v="1"/>
  </r>
  <r>
    <x v="1759"/>
    <x v="7"/>
    <x v="13"/>
    <n v="30.8"/>
    <n v="184.8"/>
    <x v="64"/>
    <d v="2025-03-09T00:00:00"/>
    <x v="2"/>
    <x v="1"/>
    <x v="0"/>
    <x v="0"/>
    <x v="11"/>
    <x v="2"/>
    <x v="9"/>
    <x v="2"/>
  </r>
  <r>
    <x v="1760"/>
    <x v="2"/>
    <x v="0"/>
    <n v="143.19999999999999"/>
    <n v="143.19999999999999"/>
    <x v="64"/>
    <d v="2025-03-09T00:00:00"/>
    <x v="1"/>
    <x v="2"/>
    <x v="0"/>
    <x v="0"/>
    <x v="11"/>
    <x v="2"/>
    <x v="9"/>
    <x v="1"/>
  </r>
  <r>
    <x v="1761"/>
    <x v="6"/>
    <x v="5"/>
    <n v="40.4"/>
    <n v="444.4"/>
    <x v="64"/>
    <d v="2025-03-08T00:00:00"/>
    <x v="1"/>
    <x v="2"/>
    <x v="2"/>
    <x v="0"/>
    <x v="18"/>
    <x v="1"/>
    <x v="9"/>
    <x v="1"/>
  </r>
  <r>
    <x v="1762"/>
    <x v="2"/>
    <x v="10"/>
    <n v="131.5"/>
    <n v="2498.5"/>
    <x v="64"/>
    <d v="2025-03-08T00:00:00"/>
    <x v="1"/>
    <x v="1"/>
    <x v="1"/>
    <x v="0"/>
    <x v="18"/>
    <x v="1"/>
    <x v="9"/>
    <x v="1"/>
  </r>
  <r>
    <x v="1763"/>
    <x v="18"/>
    <x v="3"/>
    <n v="61.6"/>
    <n v="431.2"/>
    <x v="64"/>
    <d v="2025-03-07T00:00:00"/>
    <x v="1"/>
    <x v="2"/>
    <x v="0"/>
    <x v="0"/>
    <x v="21"/>
    <x v="3"/>
    <x v="9"/>
    <x v="1"/>
  </r>
  <r>
    <x v="1764"/>
    <x v="9"/>
    <x v="9"/>
    <n v="32.700000000000003"/>
    <n v="163.5"/>
    <x v="64"/>
    <d v="2025-03-08T00:00:00"/>
    <x v="1"/>
    <x v="2"/>
    <x v="0"/>
    <x v="0"/>
    <x v="1"/>
    <x v="1"/>
    <x v="9"/>
    <x v="1"/>
  </r>
  <r>
    <x v="1765"/>
    <x v="0"/>
    <x v="7"/>
    <n v="13.7"/>
    <n v="137"/>
    <x v="64"/>
    <d v="2025-03-07T00:00:00"/>
    <x v="1"/>
    <x v="0"/>
    <x v="2"/>
    <x v="0"/>
    <x v="3"/>
    <x v="3"/>
    <x v="9"/>
    <x v="1"/>
  </r>
  <r>
    <x v="1766"/>
    <x v="0"/>
    <x v="12"/>
    <n v="32.1"/>
    <n v="128.4"/>
    <x v="64"/>
    <d v="2025-03-07T00:00:00"/>
    <x v="1"/>
    <x v="4"/>
    <x v="1"/>
    <x v="0"/>
    <x v="3"/>
    <x v="3"/>
    <x v="9"/>
    <x v="1"/>
  </r>
  <r>
    <x v="1767"/>
    <x v="14"/>
    <x v="8"/>
    <n v="12"/>
    <n v="96"/>
    <x v="64"/>
    <d v="2025-03-07T00:00:00"/>
    <x v="1"/>
    <x v="1"/>
    <x v="0"/>
    <x v="0"/>
    <x v="24"/>
    <x v="3"/>
    <x v="9"/>
    <x v="1"/>
  </r>
  <r>
    <x v="1768"/>
    <x v="12"/>
    <x v="0"/>
    <n v="64.3"/>
    <n v="64.3"/>
    <x v="64"/>
    <d v="2025-03-08T00:00:00"/>
    <x v="2"/>
    <x v="2"/>
    <x v="2"/>
    <x v="0"/>
    <x v="6"/>
    <x v="1"/>
    <x v="9"/>
    <x v="2"/>
  </r>
  <r>
    <x v="1769"/>
    <x v="1"/>
    <x v="2"/>
    <n v="58.2"/>
    <n v="174.60000000000002"/>
    <x v="64"/>
    <d v="2025-03-08T00:00:00"/>
    <x v="2"/>
    <x v="1"/>
    <x v="2"/>
    <x v="0"/>
    <x v="6"/>
    <x v="1"/>
    <x v="9"/>
    <x v="2"/>
  </r>
  <r>
    <x v="1770"/>
    <x v="6"/>
    <x v="12"/>
    <n v="59.2"/>
    <n v="236.8"/>
    <x v="64"/>
    <d v="2025-03-06T00:00:00"/>
    <x v="1"/>
    <x v="1"/>
    <x v="2"/>
    <x v="0"/>
    <x v="6"/>
    <x v="7"/>
    <x v="9"/>
    <x v="1"/>
  </r>
  <r>
    <x v="1771"/>
    <x v="10"/>
    <x v="5"/>
    <n v="35.6"/>
    <n v="391.6"/>
    <x v="64"/>
    <d v="2025-03-13T00:00:00"/>
    <x v="1"/>
    <x v="0"/>
    <x v="2"/>
    <x v="0"/>
    <x v="8"/>
    <x v="6"/>
    <x v="9"/>
    <x v="1"/>
  </r>
  <r>
    <x v="1772"/>
    <x v="16"/>
    <x v="8"/>
    <n v="37"/>
    <n v="296"/>
    <x v="64"/>
    <d v="2025-03-10T00:00:00"/>
    <x v="2"/>
    <x v="2"/>
    <x v="1"/>
    <x v="0"/>
    <x v="8"/>
    <x v="5"/>
    <x v="9"/>
    <x v="2"/>
  </r>
  <r>
    <x v="1773"/>
    <x v="1"/>
    <x v="15"/>
    <n v="80.8"/>
    <n v="1050.3999999999999"/>
    <x v="64"/>
    <d v="2025-03-08T00:00:00"/>
    <x v="2"/>
    <x v="0"/>
    <x v="0"/>
    <x v="0"/>
    <x v="8"/>
    <x v="1"/>
    <x v="9"/>
    <x v="2"/>
  </r>
  <r>
    <x v="1774"/>
    <x v="8"/>
    <x v="1"/>
    <n v="63.2"/>
    <n v="126.4"/>
    <x v="64"/>
    <d v="2025-03-07T00:00:00"/>
    <x v="1"/>
    <x v="0"/>
    <x v="1"/>
    <x v="0"/>
    <x v="8"/>
    <x v="3"/>
    <x v="9"/>
    <x v="1"/>
  </r>
  <r>
    <x v="1775"/>
    <x v="3"/>
    <x v="1"/>
    <n v="40.799999999999997"/>
    <n v="81.599999999999994"/>
    <x v="64"/>
    <d v="2025-03-08T00:00:00"/>
    <x v="1"/>
    <x v="0"/>
    <x v="1"/>
    <x v="0"/>
    <x v="17"/>
    <x v="1"/>
    <x v="9"/>
    <x v="1"/>
  </r>
  <r>
    <x v="1776"/>
    <x v="13"/>
    <x v="13"/>
    <n v="25.7"/>
    <n v="154.19999999999999"/>
    <x v="64"/>
    <d v="2025-03-08T00:00:00"/>
    <x v="1"/>
    <x v="4"/>
    <x v="0"/>
    <x v="0"/>
    <x v="18"/>
    <x v="1"/>
    <x v="9"/>
    <x v="1"/>
  </r>
  <r>
    <x v="1777"/>
    <x v="16"/>
    <x v="1"/>
    <n v="49.9"/>
    <n v="99.8"/>
    <x v="64"/>
    <d v="2025-03-09T00:00:00"/>
    <x v="1"/>
    <x v="0"/>
    <x v="0"/>
    <x v="0"/>
    <x v="20"/>
    <x v="2"/>
    <x v="9"/>
    <x v="1"/>
  </r>
  <r>
    <x v="1778"/>
    <x v="8"/>
    <x v="1"/>
    <n v="20.2"/>
    <n v="40.4"/>
    <x v="64"/>
    <d v="2025-03-08T00:00:00"/>
    <x v="2"/>
    <x v="3"/>
    <x v="0"/>
    <x v="0"/>
    <x v="21"/>
    <x v="1"/>
    <x v="9"/>
    <x v="2"/>
  </r>
  <r>
    <x v="1779"/>
    <x v="6"/>
    <x v="2"/>
    <n v="48.4"/>
    <n v="145.19999999999999"/>
    <x v="64"/>
    <d v="2025-03-11T00:00:00"/>
    <x v="2"/>
    <x v="0"/>
    <x v="2"/>
    <x v="0"/>
    <x v="21"/>
    <x v="0"/>
    <x v="9"/>
    <x v="2"/>
  </r>
  <r>
    <x v="1780"/>
    <x v="6"/>
    <x v="1"/>
    <n v="81"/>
    <n v="162"/>
    <x v="64"/>
    <d v="2025-03-07T00:00:00"/>
    <x v="2"/>
    <x v="1"/>
    <x v="2"/>
    <x v="0"/>
    <x v="21"/>
    <x v="3"/>
    <x v="9"/>
    <x v="2"/>
  </r>
  <r>
    <x v="1781"/>
    <x v="8"/>
    <x v="13"/>
    <n v="19.899999999999999"/>
    <n v="119.39999999999999"/>
    <x v="64"/>
    <d v="2025-03-09T00:00:00"/>
    <x v="2"/>
    <x v="0"/>
    <x v="1"/>
    <x v="0"/>
    <x v="22"/>
    <x v="2"/>
    <x v="9"/>
    <x v="2"/>
  </r>
  <r>
    <x v="1782"/>
    <x v="4"/>
    <x v="12"/>
    <n v="32.200000000000003"/>
    <n v="128.80000000000001"/>
    <x v="64"/>
    <d v="2025-03-16T00:00:00"/>
    <x v="1"/>
    <x v="0"/>
    <x v="0"/>
    <x v="0"/>
    <x v="22"/>
    <x v="14"/>
    <x v="9"/>
    <x v="1"/>
  </r>
  <r>
    <x v="1783"/>
    <x v="5"/>
    <x v="2"/>
    <n v="76.8"/>
    <n v="230.39999999999998"/>
    <x v="64"/>
    <d v="2025-03-07T00:00:00"/>
    <x v="2"/>
    <x v="0"/>
    <x v="1"/>
    <x v="0"/>
    <x v="3"/>
    <x v="3"/>
    <x v="9"/>
    <x v="2"/>
  </r>
  <r>
    <x v="1784"/>
    <x v="6"/>
    <x v="1"/>
    <n v="41.9"/>
    <n v="83.8"/>
    <x v="64"/>
    <d v="2025-03-08T00:00:00"/>
    <x v="2"/>
    <x v="0"/>
    <x v="0"/>
    <x v="0"/>
    <x v="3"/>
    <x v="1"/>
    <x v="9"/>
    <x v="2"/>
  </r>
  <r>
    <x v="1785"/>
    <x v="0"/>
    <x v="3"/>
    <n v="34"/>
    <n v="238"/>
    <x v="64"/>
    <d v="2025-03-08T00:00:00"/>
    <x v="2"/>
    <x v="1"/>
    <x v="2"/>
    <x v="0"/>
    <x v="3"/>
    <x v="1"/>
    <x v="9"/>
    <x v="2"/>
  </r>
  <r>
    <x v="1786"/>
    <x v="7"/>
    <x v="3"/>
    <n v="61.3"/>
    <n v="429.09999999999997"/>
    <x v="64"/>
    <d v="2025-03-06T00:00:00"/>
    <x v="2"/>
    <x v="4"/>
    <x v="2"/>
    <x v="0"/>
    <x v="3"/>
    <x v="7"/>
    <x v="9"/>
    <x v="2"/>
  </r>
  <r>
    <x v="1787"/>
    <x v="9"/>
    <x v="0"/>
    <n v="54.7"/>
    <n v="54.7"/>
    <x v="65"/>
    <d v="2025-03-08T00:00:00"/>
    <x v="1"/>
    <x v="0"/>
    <x v="1"/>
    <x v="0"/>
    <x v="3"/>
    <x v="3"/>
    <x v="9"/>
    <x v="1"/>
  </r>
  <r>
    <x v="1788"/>
    <x v="6"/>
    <x v="7"/>
    <n v="84.7"/>
    <n v="847"/>
    <x v="65"/>
    <d v="2025-03-11T00:00:00"/>
    <x v="2"/>
    <x v="0"/>
    <x v="0"/>
    <x v="0"/>
    <x v="3"/>
    <x v="5"/>
    <x v="9"/>
    <x v="2"/>
  </r>
  <r>
    <x v="1789"/>
    <x v="1"/>
    <x v="2"/>
    <n v="93.4"/>
    <n v="280.20000000000005"/>
    <x v="65"/>
    <d v="2025-03-11T00:00:00"/>
    <x v="2"/>
    <x v="3"/>
    <x v="0"/>
    <x v="0"/>
    <x v="3"/>
    <x v="5"/>
    <x v="9"/>
    <x v="2"/>
  </r>
  <r>
    <x v="1790"/>
    <x v="8"/>
    <x v="9"/>
    <n v="27"/>
    <n v="135"/>
    <x v="65"/>
    <d v="2025-03-10T00:00:00"/>
    <x v="1"/>
    <x v="0"/>
    <x v="1"/>
    <x v="0"/>
    <x v="3"/>
    <x v="2"/>
    <x v="9"/>
    <x v="1"/>
  </r>
  <r>
    <x v="1791"/>
    <x v="0"/>
    <x v="12"/>
    <n v="10.9"/>
    <n v="43.6"/>
    <x v="65"/>
    <d v="2025-03-08T00:00:00"/>
    <x v="1"/>
    <x v="2"/>
    <x v="0"/>
    <x v="0"/>
    <x v="3"/>
    <x v="3"/>
    <x v="9"/>
    <x v="1"/>
  </r>
  <r>
    <x v="1792"/>
    <x v="16"/>
    <x v="2"/>
    <n v="48"/>
    <n v="144"/>
    <x v="65"/>
    <d v="2025-03-12T00:00:00"/>
    <x v="2"/>
    <x v="4"/>
    <x v="0"/>
    <x v="0"/>
    <x v="3"/>
    <x v="0"/>
    <x v="9"/>
    <x v="2"/>
  </r>
  <r>
    <x v="1793"/>
    <x v="5"/>
    <x v="1"/>
    <n v="67.900000000000006"/>
    <n v="135.80000000000001"/>
    <x v="65"/>
    <d v="2025-03-08T00:00:00"/>
    <x v="1"/>
    <x v="0"/>
    <x v="2"/>
    <x v="0"/>
    <x v="23"/>
    <x v="3"/>
    <x v="9"/>
    <x v="1"/>
  </r>
  <r>
    <x v="1794"/>
    <x v="4"/>
    <x v="2"/>
    <n v="36"/>
    <n v="108"/>
    <x v="65"/>
    <d v="2025-03-08T00:00:00"/>
    <x v="1"/>
    <x v="1"/>
    <x v="0"/>
    <x v="0"/>
    <x v="6"/>
    <x v="3"/>
    <x v="9"/>
    <x v="1"/>
  </r>
  <r>
    <x v="1795"/>
    <x v="2"/>
    <x v="0"/>
    <n v="128.80000000000001"/>
    <n v="128.80000000000001"/>
    <x v="65"/>
    <d v="2025-03-08T00:00:00"/>
    <x v="1"/>
    <x v="4"/>
    <x v="2"/>
    <x v="0"/>
    <x v="6"/>
    <x v="3"/>
    <x v="9"/>
    <x v="1"/>
  </r>
  <r>
    <x v="1796"/>
    <x v="18"/>
    <x v="3"/>
    <n v="33.299999999999997"/>
    <n v="233.09999999999997"/>
    <x v="65"/>
    <d v="2025-03-08T00:00:00"/>
    <x v="2"/>
    <x v="3"/>
    <x v="0"/>
    <x v="0"/>
    <x v="8"/>
    <x v="3"/>
    <x v="9"/>
    <x v="2"/>
  </r>
  <r>
    <x v="1797"/>
    <x v="10"/>
    <x v="2"/>
    <n v="37.799999999999997"/>
    <n v="113.39999999999999"/>
    <x v="65"/>
    <d v="2025-03-09T00:00:00"/>
    <x v="1"/>
    <x v="1"/>
    <x v="2"/>
    <x v="0"/>
    <x v="8"/>
    <x v="1"/>
    <x v="9"/>
    <x v="1"/>
  </r>
  <r>
    <x v="1798"/>
    <x v="5"/>
    <x v="2"/>
    <n v="26"/>
    <n v="78"/>
    <x v="65"/>
    <d v="2025-03-12T00:00:00"/>
    <x v="2"/>
    <x v="0"/>
    <x v="0"/>
    <x v="0"/>
    <x v="8"/>
    <x v="0"/>
    <x v="9"/>
    <x v="2"/>
  </r>
  <r>
    <x v="1799"/>
    <x v="8"/>
    <x v="10"/>
    <n v="28.3"/>
    <n v="537.70000000000005"/>
    <x v="65"/>
    <d v="2025-03-08T00:00:00"/>
    <x v="2"/>
    <x v="3"/>
    <x v="4"/>
    <x v="0"/>
    <x v="8"/>
    <x v="3"/>
    <x v="9"/>
    <x v="2"/>
  </r>
  <r>
    <x v="1800"/>
    <x v="8"/>
    <x v="12"/>
    <n v="31.3"/>
    <n v="125.2"/>
    <x v="65"/>
    <d v="2025-03-07T00:00:00"/>
    <x v="2"/>
    <x v="0"/>
    <x v="0"/>
    <x v="0"/>
    <x v="8"/>
    <x v="7"/>
    <x v="9"/>
    <x v="2"/>
  </r>
  <r>
    <x v="1801"/>
    <x v="7"/>
    <x v="2"/>
    <n v="69.5"/>
    <n v="208.5"/>
    <x v="65"/>
    <d v="2025-03-08T00:00:00"/>
    <x v="2"/>
    <x v="3"/>
    <x v="2"/>
    <x v="0"/>
    <x v="8"/>
    <x v="3"/>
    <x v="9"/>
    <x v="2"/>
  </r>
  <r>
    <x v="1802"/>
    <x v="0"/>
    <x v="1"/>
    <n v="16.7"/>
    <n v="33.4"/>
    <x v="65"/>
    <d v="2025-03-08T00:00:00"/>
    <x v="2"/>
    <x v="3"/>
    <x v="1"/>
    <x v="0"/>
    <x v="8"/>
    <x v="3"/>
    <x v="9"/>
    <x v="2"/>
  </r>
  <r>
    <x v="1803"/>
    <x v="9"/>
    <x v="1"/>
    <n v="62.6"/>
    <n v="125.2"/>
    <x v="65"/>
    <d v="2025-03-08T00:00:00"/>
    <x v="1"/>
    <x v="2"/>
    <x v="2"/>
    <x v="0"/>
    <x v="9"/>
    <x v="3"/>
    <x v="9"/>
    <x v="1"/>
  </r>
  <r>
    <x v="1804"/>
    <x v="7"/>
    <x v="0"/>
    <n v="81.2"/>
    <n v="81.2"/>
    <x v="65"/>
    <d v="2025-03-13T00:00:00"/>
    <x v="1"/>
    <x v="4"/>
    <x v="4"/>
    <x v="0"/>
    <x v="9"/>
    <x v="4"/>
    <x v="9"/>
    <x v="1"/>
  </r>
  <r>
    <x v="1805"/>
    <x v="0"/>
    <x v="7"/>
    <n v="12.7"/>
    <n v="127"/>
    <x v="65"/>
    <d v="2025-03-08T00:00:00"/>
    <x v="2"/>
    <x v="0"/>
    <x v="2"/>
    <x v="0"/>
    <x v="9"/>
    <x v="3"/>
    <x v="9"/>
    <x v="2"/>
  </r>
  <r>
    <x v="1806"/>
    <x v="7"/>
    <x v="12"/>
    <n v="77.7"/>
    <n v="310.8"/>
    <x v="66"/>
    <d v="2025-03-12T00:00:00"/>
    <x v="1"/>
    <x v="1"/>
    <x v="0"/>
    <x v="0"/>
    <x v="11"/>
    <x v="5"/>
    <x v="9"/>
    <x v="1"/>
  </r>
  <r>
    <x v="1807"/>
    <x v="5"/>
    <x v="1"/>
    <n v="37.299999999999997"/>
    <n v="74.599999999999994"/>
    <x v="66"/>
    <d v="2025-03-09T00:00:00"/>
    <x v="2"/>
    <x v="0"/>
    <x v="2"/>
    <x v="0"/>
    <x v="18"/>
    <x v="3"/>
    <x v="9"/>
    <x v="2"/>
  </r>
  <r>
    <x v="1808"/>
    <x v="10"/>
    <x v="12"/>
    <n v="35.6"/>
    <n v="142.4"/>
    <x v="66"/>
    <d v="2025-03-10T00:00:00"/>
    <x v="2"/>
    <x v="1"/>
    <x v="1"/>
    <x v="0"/>
    <x v="19"/>
    <x v="1"/>
    <x v="9"/>
    <x v="2"/>
  </r>
  <r>
    <x v="1809"/>
    <x v="2"/>
    <x v="2"/>
    <n v="95"/>
    <n v="285"/>
    <x v="66"/>
    <d v="2025-03-12T00:00:00"/>
    <x v="2"/>
    <x v="2"/>
    <x v="2"/>
    <x v="0"/>
    <x v="56"/>
    <x v="5"/>
    <x v="9"/>
    <x v="2"/>
  </r>
  <r>
    <x v="1810"/>
    <x v="2"/>
    <x v="12"/>
    <n v="172.1"/>
    <n v="688.4"/>
    <x v="66"/>
    <d v="2025-03-12T00:00:00"/>
    <x v="3"/>
    <x v="2"/>
    <x v="2"/>
    <x v="0"/>
    <x v="21"/>
    <x v="5"/>
    <x v="9"/>
    <x v="3"/>
  </r>
  <r>
    <x v="1811"/>
    <x v="2"/>
    <x v="1"/>
    <n v="233"/>
    <n v="466"/>
    <x v="66"/>
    <d v="2025-03-11T00:00:00"/>
    <x v="2"/>
    <x v="1"/>
    <x v="0"/>
    <x v="0"/>
    <x v="21"/>
    <x v="2"/>
    <x v="9"/>
    <x v="2"/>
  </r>
  <r>
    <x v="1812"/>
    <x v="0"/>
    <x v="0"/>
    <n v="43.5"/>
    <n v="43.5"/>
    <x v="66"/>
    <d v="2025-03-09T00:00:00"/>
    <x v="2"/>
    <x v="2"/>
    <x v="2"/>
    <x v="0"/>
    <x v="21"/>
    <x v="3"/>
    <x v="9"/>
    <x v="2"/>
  </r>
  <r>
    <x v="1813"/>
    <x v="9"/>
    <x v="1"/>
    <n v="47.8"/>
    <n v="95.6"/>
    <x v="66"/>
    <d v="2025-03-11T00:00:00"/>
    <x v="1"/>
    <x v="4"/>
    <x v="2"/>
    <x v="0"/>
    <x v="1"/>
    <x v="2"/>
    <x v="9"/>
    <x v="1"/>
  </r>
  <r>
    <x v="1814"/>
    <x v="12"/>
    <x v="1"/>
    <n v="65.8"/>
    <n v="131.6"/>
    <x v="66"/>
    <d v="2025-03-10T00:00:00"/>
    <x v="2"/>
    <x v="0"/>
    <x v="3"/>
    <x v="0"/>
    <x v="33"/>
    <x v="1"/>
    <x v="9"/>
    <x v="2"/>
  </r>
  <r>
    <x v="1815"/>
    <x v="15"/>
    <x v="5"/>
    <n v="38.700000000000003"/>
    <n v="425.70000000000005"/>
    <x v="66"/>
    <d v="2025-03-08T00:00:00"/>
    <x v="1"/>
    <x v="0"/>
    <x v="0"/>
    <x v="0"/>
    <x v="22"/>
    <x v="7"/>
    <x v="9"/>
    <x v="1"/>
  </r>
  <r>
    <x v="1816"/>
    <x v="3"/>
    <x v="12"/>
    <n v="55.7"/>
    <n v="222.8"/>
    <x v="66"/>
    <d v="2025-03-10T00:00:00"/>
    <x v="3"/>
    <x v="0"/>
    <x v="1"/>
    <x v="0"/>
    <x v="22"/>
    <x v="1"/>
    <x v="9"/>
    <x v="3"/>
  </r>
  <r>
    <x v="1817"/>
    <x v="7"/>
    <x v="1"/>
    <n v="102.4"/>
    <n v="204.8"/>
    <x v="66"/>
    <d v="2025-03-08T00:00:00"/>
    <x v="2"/>
    <x v="1"/>
    <x v="0"/>
    <x v="0"/>
    <x v="3"/>
    <x v="7"/>
    <x v="9"/>
    <x v="2"/>
  </r>
  <r>
    <x v="1818"/>
    <x v="1"/>
    <x v="0"/>
    <n v="92"/>
    <n v="92"/>
    <x v="66"/>
    <d v="2025-03-12T00:00:00"/>
    <x v="0"/>
    <x v="2"/>
    <x v="0"/>
    <x v="0"/>
    <x v="3"/>
    <x v="5"/>
    <x v="9"/>
    <x v="0"/>
  </r>
  <r>
    <x v="1819"/>
    <x v="6"/>
    <x v="12"/>
    <n v="75.900000000000006"/>
    <n v="303.60000000000002"/>
    <x v="66"/>
    <d v="2025-03-10T00:00:00"/>
    <x v="2"/>
    <x v="1"/>
    <x v="0"/>
    <x v="0"/>
    <x v="3"/>
    <x v="1"/>
    <x v="9"/>
    <x v="2"/>
  </r>
  <r>
    <x v="1820"/>
    <x v="1"/>
    <x v="12"/>
    <n v="36.200000000000003"/>
    <n v="144.80000000000001"/>
    <x v="66"/>
    <d v="2025-03-09T00:00:00"/>
    <x v="2"/>
    <x v="1"/>
    <x v="0"/>
    <x v="0"/>
    <x v="3"/>
    <x v="3"/>
    <x v="9"/>
    <x v="2"/>
  </r>
  <r>
    <x v="1821"/>
    <x v="6"/>
    <x v="45"/>
    <n v="83.5"/>
    <n v="7264.5"/>
    <x v="66"/>
    <d v="2025-03-10T00:00:00"/>
    <x v="0"/>
    <x v="3"/>
    <x v="0"/>
    <x v="0"/>
    <x v="3"/>
    <x v="1"/>
    <x v="9"/>
    <x v="0"/>
  </r>
  <r>
    <x v="1822"/>
    <x v="19"/>
    <x v="4"/>
    <n v="52.4"/>
    <n v="628.79999999999995"/>
    <x v="66"/>
    <d v="2025-03-08T00:00:00"/>
    <x v="1"/>
    <x v="2"/>
    <x v="0"/>
    <x v="0"/>
    <x v="3"/>
    <x v="7"/>
    <x v="9"/>
    <x v="1"/>
  </r>
  <r>
    <x v="1823"/>
    <x v="12"/>
    <x v="2"/>
    <n v="69.5"/>
    <n v="208.5"/>
    <x v="66"/>
    <d v="2025-03-09T00:00:00"/>
    <x v="3"/>
    <x v="4"/>
    <x v="0"/>
    <x v="0"/>
    <x v="3"/>
    <x v="3"/>
    <x v="9"/>
    <x v="3"/>
  </r>
  <r>
    <x v="1824"/>
    <x v="0"/>
    <x v="0"/>
    <n v="15.5"/>
    <n v="15.5"/>
    <x v="66"/>
    <d v="2025-03-10T00:00:00"/>
    <x v="1"/>
    <x v="0"/>
    <x v="0"/>
    <x v="0"/>
    <x v="3"/>
    <x v="1"/>
    <x v="9"/>
    <x v="1"/>
  </r>
  <r>
    <x v="1825"/>
    <x v="4"/>
    <x v="12"/>
    <n v="35.200000000000003"/>
    <n v="140.80000000000001"/>
    <x v="66"/>
    <d v="2025-03-09T00:00:00"/>
    <x v="2"/>
    <x v="2"/>
    <x v="2"/>
    <x v="0"/>
    <x v="3"/>
    <x v="3"/>
    <x v="9"/>
    <x v="2"/>
  </r>
  <r>
    <x v="1826"/>
    <x v="8"/>
    <x v="13"/>
    <n v="34.6"/>
    <n v="207.60000000000002"/>
    <x v="66"/>
    <d v="2025-03-09T00:00:00"/>
    <x v="0"/>
    <x v="0"/>
    <x v="1"/>
    <x v="0"/>
    <x v="3"/>
    <x v="3"/>
    <x v="9"/>
    <x v="0"/>
  </r>
  <r>
    <x v="1827"/>
    <x v="4"/>
    <x v="0"/>
    <n v="21.3"/>
    <n v="21.3"/>
    <x v="67"/>
    <d v="2025-03-10T00:00:00"/>
    <x v="1"/>
    <x v="2"/>
    <x v="1"/>
    <x v="0"/>
    <x v="3"/>
    <x v="3"/>
    <x v="10"/>
    <x v="1"/>
  </r>
  <r>
    <x v="1828"/>
    <x v="6"/>
    <x v="1"/>
    <n v="136.5"/>
    <n v="273"/>
    <x v="67"/>
    <d v="2025-03-15T00:00:00"/>
    <x v="2"/>
    <x v="0"/>
    <x v="0"/>
    <x v="0"/>
    <x v="37"/>
    <x v="4"/>
    <x v="10"/>
    <x v="2"/>
  </r>
  <r>
    <x v="1829"/>
    <x v="9"/>
    <x v="3"/>
    <n v="30.7"/>
    <n v="214.9"/>
    <x v="67"/>
    <d v="2025-03-10T00:00:00"/>
    <x v="1"/>
    <x v="2"/>
    <x v="2"/>
    <x v="0"/>
    <x v="25"/>
    <x v="3"/>
    <x v="10"/>
    <x v="1"/>
  </r>
  <r>
    <x v="1830"/>
    <x v="1"/>
    <x v="1"/>
    <n v="61.6"/>
    <n v="123.2"/>
    <x v="67"/>
    <d v="2025-03-10T00:00:00"/>
    <x v="2"/>
    <x v="2"/>
    <x v="2"/>
    <x v="0"/>
    <x v="23"/>
    <x v="3"/>
    <x v="10"/>
    <x v="2"/>
  </r>
  <r>
    <x v="1831"/>
    <x v="6"/>
    <x v="12"/>
    <n v="54.3"/>
    <n v="217.2"/>
    <x v="67"/>
    <d v="2025-03-11T00:00:00"/>
    <x v="0"/>
    <x v="4"/>
    <x v="0"/>
    <x v="0"/>
    <x v="7"/>
    <x v="1"/>
    <x v="10"/>
    <x v="0"/>
  </r>
  <r>
    <x v="1832"/>
    <x v="1"/>
    <x v="1"/>
    <n v="44.1"/>
    <n v="88.2"/>
    <x v="67"/>
    <d v="2025-03-21T00:00:00"/>
    <x v="2"/>
    <x v="0"/>
    <x v="2"/>
    <x v="0"/>
    <x v="8"/>
    <x v="13"/>
    <x v="10"/>
    <x v="2"/>
  </r>
  <r>
    <x v="1833"/>
    <x v="8"/>
    <x v="12"/>
    <n v="43.5"/>
    <n v="174"/>
    <x v="67"/>
    <d v="2025-03-15T00:00:00"/>
    <x v="1"/>
    <x v="3"/>
    <x v="0"/>
    <x v="0"/>
    <x v="8"/>
    <x v="4"/>
    <x v="10"/>
    <x v="1"/>
  </r>
  <r>
    <x v="1834"/>
    <x v="8"/>
    <x v="2"/>
    <n v="48.2"/>
    <n v="144.60000000000002"/>
    <x v="67"/>
    <d v="2025-03-13T00:00:00"/>
    <x v="1"/>
    <x v="3"/>
    <x v="1"/>
    <x v="0"/>
    <x v="8"/>
    <x v="5"/>
    <x v="10"/>
    <x v="1"/>
  </r>
  <r>
    <x v="1835"/>
    <x v="19"/>
    <x v="0"/>
    <n v="13.7"/>
    <n v="13.7"/>
    <x v="67"/>
    <d v="2025-03-10T00:00:00"/>
    <x v="2"/>
    <x v="2"/>
    <x v="2"/>
    <x v="0"/>
    <x v="8"/>
    <x v="3"/>
    <x v="10"/>
    <x v="2"/>
  </r>
  <r>
    <x v="1836"/>
    <x v="2"/>
    <x v="1"/>
    <n v="110.5"/>
    <n v="221"/>
    <x v="67"/>
    <d v="2025-03-10T00:00:00"/>
    <x v="2"/>
    <x v="0"/>
    <x v="1"/>
    <x v="0"/>
    <x v="8"/>
    <x v="3"/>
    <x v="10"/>
    <x v="2"/>
  </r>
  <r>
    <x v="1837"/>
    <x v="8"/>
    <x v="2"/>
    <n v="26"/>
    <n v="78"/>
    <x v="67"/>
    <d v="2025-03-14T00:00:00"/>
    <x v="2"/>
    <x v="1"/>
    <x v="1"/>
    <x v="0"/>
    <x v="8"/>
    <x v="0"/>
    <x v="10"/>
    <x v="2"/>
  </r>
  <r>
    <x v="1838"/>
    <x v="2"/>
    <x v="7"/>
    <n v="140.69999999999999"/>
    <n v="1407"/>
    <x v="67"/>
    <d v="2025-03-15T00:00:00"/>
    <x v="1"/>
    <x v="3"/>
    <x v="1"/>
    <x v="0"/>
    <x v="8"/>
    <x v="4"/>
    <x v="10"/>
    <x v="1"/>
  </r>
  <r>
    <x v="1839"/>
    <x v="17"/>
    <x v="1"/>
    <n v="41.7"/>
    <n v="83.4"/>
    <x v="67"/>
    <d v="2025-03-17T00:00:00"/>
    <x v="2"/>
    <x v="0"/>
    <x v="4"/>
    <x v="0"/>
    <x v="8"/>
    <x v="9"/>
    <x v="10"/>
    <x v="2"/>
  </r>
  <r>
    <x v="1840"/>
    <x v="2"/>
    <x v="1"/>
    <n v="135.1"/>
    <n v="270.2"/>
    <x v="67"/>
    <d v="2025-03-10T00:00:00"/>
    <x v="1"/>
    <x v="0"/>
    <x v="2"/>
    <x v="0"/>
    <x v="17"/>
    <x v="3"/>
    <x v="10"/>
    <x v="1"/>
  </r>
  <r>
    <x v="1841"/>
    <x v="12"/>
    <x v="32"/>
    <n v="95.5"/>
    <n v="2101"/>
    <x v="67"/>
    <d v="2025-03-10T00:00:00"/>
    <x v="2"/>
    <x v="4"/>
    <x v="4"/>
    <x v="0"/>
    <x v="26"/>
    <x v="3"/>
    <x v="10"/>
    <x v="2"/>
  </r>
  <r>
    <x v="1842"/>
    <x v="15"/>
    <x v="0"/>
    <n v="25.5"/>
    <n v="25.5"/>
    <x v="67"/>
    <d v="2025-03-12T00:00:00"/>
    <x v="0"/>
    <x v="2"/>
    <x v="2"/>
    <x v="0"/>
    <x v="11"/>
    <x v="2"/>
    <x v="10"/>
    <x v="0"/>
  </r>
  <r>
    <x v="1843"/>
    <x v="1"/>
    <x v="0"/>
    <n v="42.6"/>
    <n v="42.6"/>
    <x v="67"/>
    <d v="2025-03-13T00:00:00"/>
    <x v="2"/>
    <x v="0"/>
    <x v="0"/>
    <x v="0"/>
    <x v="11"/>
    <x v="5"/>
    <x v="10"/>
    <x v="2"/>
  </r>
  <r>
    <x v="1844"/>
    <x v="8"/>
    <x v="20"/>
    <n v="32.4"/>
    <n v="486"/>
    <x v="67"/>
    <d v="2025-03-10T00:00:00"/>
    <x v="1"/>
    <x v="1"/>
    <x v="1"/>
    <x v="0"/>
    <x v="11"/>
    <x v="3"/>
    <x v="10"/>
    <x v="1"/>
  </r>
  <r>
    <x v="1845"/>
    <x v="4"/>
    <x v="12"/>
    <n v="20.2"/>
    <n v="80.8"/>
    <x v="67"/>
    <d v="2025-03-10T00:00:00"/>
    <x v="3"/>
    <x v="2"/>
    <x v="0"/>
    <x v="0"/>
    <x v="11"/>
    <x v="3"/>
    <x v="10"/>
    <x v="3"/>
  </r>
  <r>
    <x v="1846"/>
    <x v="16"/>
    <x v="2"/>
    <n v="52.5"/>
    <n v="157.5"/>
    <x v="67"/>
    <d v="2025-03-14T00:00:00"/>
    <x v="2"/>
    <x v="4"/>
    <x v="0"/>
    <x v="0"/>
    <x v="18"/>
    <x v="0"/>
    <x v="10"/>
    <x v="2"/>
  </r>
  <r>
    <x v="1847"/>
    <x v="2"/>
    <x v="9"/>
    <n v="59.9"/>
    <n v="299.5"/>
    <x v="67"/>
    <d v="2025-03-11T00:00:00"/>
    <x v="2"/>
    <x v="2"/>
    <x v="0"/>
    <x v="0"/>
    <x v="19"/>
    <x v="1"/>
    <x v="10"/>
    <x v="2"/>
  </r>
  <r>
    <x v="1848"/>
    <x v="4"/>
    <x v="1"/>
    <n v="53.2"/>
    <n v="106.4"/>
    <x v="67"/>
    <d v="2025-03-10T00:00:00"/>
    <x v="2"/>
    <x v="1"/>
    <x v="3"/>
    <x v="0"/>
    <x v="20"/>
    <x v="3"/>
    <x v="10"/>
    <x v="2"/>
  </r>
  <r>
    <x v="1849"/>
    <x v="2"/>
    <x v="1"/>
    <n v="60"/>
    <n v="120"/>
    <x v="67"/>
    <d v="2025-03-15T00:00:00"/>
    <x v="1"/>
    <x v="1"/>
    <x v="2"/>
    <x v="0"/>
    <x v="20"/>
    <x v="4"/>
    <x v="10"/>
    <x v="1"/>
  </r>
  <r>
    <x v="1850"/>
    <x v="8"/>
    <x v="2"/>
    <n v="29.3"/>
    <n v="87.9"/>
    <x v="67"/>
    <d v="2025-03-10T00:00:00"/>
    <x v="2"/>
    <x v="4"/>
    <x v="0"/>
    <x v="0"/>
    <x v="13"/>
    <x v="3"/>
    <x v="10"/>
    <x v="2"/>
  </r>
  <r>
    <x v="1851"/>
    <x v="12"/>
    <x v="1"/>
    <n v="55.4"/>
    <n v="110.8"/>
    <x v="67"/>
    <d v="2025-03-10T00:00:00"/>
    <x v="2"/>
    <x v="0"/>
    <x v="2"/>
    <x v="0"/>
    <x v="21"/>
    <x v="3"/>
    <x v="10"/>
    <x v="2"/>
  </r>
  <r>
    <x v="1852"/>
    <x v="0"/>
    <x v="9"/>
    <n v="20.100000000000001"/>
    <n v="100.5"/>
    <x v="67"/>
    <d v="2025-03-11T00:00:00"/>
    <x v="2"/>
    <x v="1"/>
    <x v="2"/>
    <x v="0"/>
    <x v="21"/>
    <x v="1"/>
    <x v="10"/>
    <x v="2"/>
  </r>
  <r>
    <x v="1853"/>
    <x v="14"/>
    <x v="9"/>
    <n v="24"/>
    <n v="120"/>
    <x v="67"/>
    <d v="2025-03-12T00:00:00"/>
    <x v="1"/>
    <x v="2"/>
    <x v="0"/>
    <x v="0"/>
    <x v="1"/>
    <x v="2"/>
    <x v="10"/>
    <x v="1"/>
  </r>
  <r>
    <x v="1854"/>
    <x v="8"/>
    <x v="1"/>
    <n v="30.6"/>
    <n v="61.2"/>
    <x v="68"/>
    <d v="2025-03-12T00:00:00"/>
    <x v="2"/>
    <x v="0"/>
    <x v="0"/>
    <x v="0"/>
    <x v="1"/>
    <x v="1"/>
    <x v="10"/>
    <x v="2"/>
  </r>
  <r>
    <x v="1855"/>
    <x v="10"/>
    <x v="9"/>
    <n v="33"/>
    <n v="165"/>
    <x v="68"/>
    <d v="2025-03-11T00:00:00"/>
    <x v="1"/>
    <x v="1"/>
    <x v="1"/>
    <x v="0"/>
    <x v="27"/>
    <x v="3"/>
    <x v="10"/>
    <x v="1"/>
  </r>
  <r>
    <x v="1856"/>
    <x v="17"/>
    <x v="11"/>
    <n v="42.1"/>
    <n v="378.90000000000003"/>
    <x v="68"/>
    <d v="2025-03-16T00:00:00"/>
    <x v="2"/>
    <x v="2"/>
    <x v="0"/>
    <x v="0"/>
    <x v="44"/>
    <x v="4"/>
    <x v="10"/>
    <x v="2"/>
  </r>
  <r>
    <x v="1857"/>
    <x v="6"/>
    <x v="3"/>
    <n v="77.7"/>
    <n v="543.9"/>
    <x v="68"/>
    <d v="2025-03-15T00:00:00"/>
    <x v="2"/>
    <x v="1"/>
    <x v="2"/>
    <x v="0"/>
    <x v="50"/>
    <x v="0"/>
    <x v="10"/>
    <x v="2"/>
  </r>
  <r>
    <x v="1858"/>
    <x v="17"/>
    <x v="13"/>
    <n v="22.7"/>
    <n v="136.19999999999999"/>
    <x v="68"/>
    <d v="2025-03-13T00:00:00"/>
    <x v="2"/>
    <x v="2"/>
    <x v="0"/>
    <x v="0"/>
    <x v="3"/>
    <x v="2"/>
    <x v="10"/>
    <x v="2"/>
  </r>
  <r>
    <x v="1859"/>
    <x v="2"/>
    <x v="1"/>
    <n v="133"/>
    <n v="266"/>
    <x v="68"/>
    <d v="2025-03-10T00:00:00"/>
    <x v="1"/>
    <x v="2"/>
    <x v="2"/>
    <x v="0"/>
    <x v="3"/>
    <x v="7"/>
    <x v="10"/>
    <x v="1"/>
  </r>
  <r>
    <x v="1860"/>
    <x v="0"/>
    <x v="1"/>
    <n v="23.3"/>
    <n v="46.6"/>
    <x v="68"/>
    <d v="2025-03-11T00:00:00"/>
    <x v="1"/>
    <x v="1"/>
    <x v="2"/>
    <x v="0"/>
    <x v="3"/>
    <x v="3"/>
    <x v="10"/>
    <x v="1"/>
  </r>
  <r>
    <x v="1861"/>
    <x v="8"/>
    <x v="2"/>
    <n v="20.7"/>
    <n v="62.099999999999994"/>
    <x v="68"/>
    <d v="2025-03-12T00:00:00"/>
    <x v="3"/>
    <x v="0"/>
    <x v="2"/>
    <x v="0"/>
    <x v="3"/>
    <x v="1"/>
    <x v="10"/>
    <x v="3"/>
  </r>
  <r>
    <x v="1862"/>
    <x v="12"/>
    <x v="1"/>
    <n v="47"/>
    <n v="94"/>
    <x v="68"/>
    <d v="2025-03-11T00:00:00"/>
    <x v="1"/>
    <x v="1"/>
    <x v="2"/>
    <x v="0"/>
    <x v="3"/>
    <x v="3"/>
    <x v="10"/>
    <x v="1"/>
  </r>
  <r>
    <x v="1863"/>
    <x v="12"/>
    <x v="2"/>
    <n v="38.200000000000003"/>
    <n v="114.60000000000001"/>
    <x v="68"/>
    <d v="2025-03-12T00:00:00"/>
    <x v="2"/>
    <x v="2"/>
    <x v="4"/>
    <x v="0"/>
    <x v="3"/>
    <x v="1"/>
    <x v="10"/>
    <x v="2"/>
  </r>
  <r>
    <x v="1864"/>
    <x v="9"/>
    <x v="0"/>
    <n v="39.1"/>
    <n v="39.1"/>
    <x v="68"/>
    <d v="2025-03-12T00:00:00"/>
    <x v="2"/>
    <x v="0"/>
    <x v="0"/>
    <x v="0"/>
    <x v="3"/>
    <x v="1"/>
    <x v="10"/>
    <x v="2"/>
  </r>
  <r>
    <x v="1865"/>
    <x v="7"/>
    <x v="30"/>
    <n v="55.6"/>
    <n v="1390"/>
    <x v="68"/>
    <d v="2025-03-12T00:00:00"/>
    <x v="1"/>
    <x v="0"/>
    <x v="2"/>
    <x v="0"/>
    <x v="3"/>
    <x v="1"/>
    <x v="10"/>
    <x v="1"/>
  </r>
  <r>
    <x v="1866"/>
    <x v="15"/>
    <x v="0"/>
    <n v="43.1"/>
    <n v="43.1"/>
    <x v="68"/>
    <d v="2025-03-10T00:00:00"/>
    <x v="3"/>
    <x v="1"/>
    <x v="2"/>
    <x v="0"/>
    <x v="3"/>
    <x v="7"/>
    <x v="10"/>
    <x v="3"/>
  </r>
  <r>
    <x v="1867"/>
    <x v="6"/>
    <x v="12"/>
    <n v="48.1"/>
    <n v="192.4"/>
    <x v="68"/>
    <d v="2025-03-11T00:00:00"/>
    <x v="2"/>
    <x v="4"/>
    <x v="2"/>
    <x v="0"/>
    <x v="3"/>
    <x v="3"/>
    <x v="10"/>
    <x v="2"/>
  </r>
  <r>
    <x v="1868"/>
    <x v="4"/>
    <x v="0"/>
    <n v="42"/>
    <n v="42"/>
    <x v="68"/>
    <d v="2025-03-11T00:00:00"/>
    <x v="3"/>
    <x v="0"/>
    <x v="0"/>
    <x v="0"/>
    <x v="3"/>
    <x v="3"/>
    <x v="10"/>
    <x v="3"/>
  </r>
  <r>
    <x v="1869"/>
    <x v="8"/>
    <x v="9"/>
    <n v="18.3"/>
    <n v="91.5"/>
    <x v="68"/>
    <d v="2025-03-10T00:00:00"/>
    <x v="2"/>
    <x v="2"/>
    <x v="0"/>
    <x v="0"/>
    <x v="3"/>
    <x v="7"/>
    <x v="10"/>
    <x v="2"/>
  </r>
  <r>
    <x v="1870"/>
    <x v="10"/>
    <x v="12"/>
    <n v="45.3"/>
    <n v="181.2"/>
    <x v="68"/>
    <d v="2025-03-13T00:00:00"/>
    <x v="2"/>
    <x v="0"/>
    <x v="2"/>
    <x v="0"/>
    <x v="3"/>
    <x v="2"/>
    <x v="10"/>
    <x v="2"/>
  </r>
  <r>
    <x v="1871"/>
    <x v="0"/>
    <x v="1"/>
    <n v="27.6"/>
    <n v="55.2"/>
    <x v="68"/>
    <d v="2025-03-12T00:00:00"/>
    <x v="1"/>
    <x v="0"/>
    <x v="2"/>
    <x v="0"/>
    <x v="37"/>
    <x v="1"/>
    <x v="10"/>
    <x v="1"/>
  </r>
  <r>
    <x v="1872"/>
    <x v="4"/>
    <x v="9"/>
    <n v="26.9"/>
    <n v="134.5"/>
    <x v="68"/>
    <d v="2025-03-11T00:00:00"/>
    <x v="2"/>
    <x v="2"/>
    <x v="0"/>
    <x v="0"/>
    <x v="25"/>
    <x v="3"/>
    <x v="10"/>
    <x v="2"/>
  </r>
  <r>
    <x v="1873"/>
    <x v="2"/>
    <x v="11"/>
    <n v="82.4"/>
    <n v="741.6"/>
    <x v="68"/>
    <d v="2025-03-12T00:00:00"/>
    <x v="3"/>
    <x v="2"/>
    <x v="0"/>
    <x v="0"/>
    <x v="5"/>
    <x v="1"/>
    <x v="10"/>
    <x v="3"/>
  </r>
  <r>
    <x v="1874"/>
    <x v="6"/>
    <x v="0"/>
    <n v="103.7"/>
    <n v="103.7"/>
    <x v="68"/>
    <d v="2025-03-12T00:00:00"/>
    <x v="2"/>
    <x v="1"/>
    <x v="0"/>
    <x v="0"/>
    <x v="5"/>
    <x v="1"/>
    <x v="10"/>
    <x v="2"/>
  </r>
  <r>
    <x v="1875"/>
    <x v="2"/>
    <x v="1"/>
    <n v="58.8"/>
    <n v="117.6"/>
    <x v="68"/>
    <d v="2025-03-15T00:00:00"/>
    <x v="2"/>
    <x v="1"/>
    <x v="2"/>
    <x v="0"/>
    <x v="6"/>
    <x v="0"/>
    <x v="10"/>
    <x v="2"/>
  </r>
  <r>
    <x v="1876"/>
    <x v="13"/>
    <x v="0"/>
    <n v="31.5"/>
    <n v="31.5"/>
    <x v="68"/>
    <d v="2025-03-11T00:00:00"/>
    <x v="2"/>
    <x v="1"/>
    <x v="1"/>
    <x v="0"/>
    <x v="6"/>
    <x v="3"/>
    <x v="10"/>
    <x v="2"/>
  </r>
  <r>
    <x v="1877"/>
    <x v="7"/>
    <x v="9"/>
    <n v="36.799999999999997"/>
    <n v="184"/>
    <x v="68"/>
    <d v="2025-03-12T00:00:00"/>
    <x v="2"/>
    <x v="0"/>
    <x v="0"/>
    <x v="0"/>
    <x v="8"/>
    <x v="1"/>
    <x v="10"/>
    <x v="2"/>
  </r>
  <r>
    <x v="1878"/>
    <x v="3"/>
    <x v="0"/>
    <n v="84.4"/>
    <n v="84.4"/>
    <x v="68"/>
    <d v="2025-03-11T00:00:00"/>
    <x v="2"/>
    <x v="0"/>
    <x v="0"/>
    <x v="0"/>
    <x v="8"/>
    <x v="3"/>
    <x v="10"/>
    <x v="2"/>
  </r>
  <r>
    <x v="1879"/>
    <x v="14"/>
    <x v="0"/>
    <n v="44.7"/>
    <n v="44.7"/>
    <x v="68"/>
    <d v="2025-03-11T00:00:00"/>
    <x v="1"/>
    <x v="0"/>
    <x v="1"/>
    <x v="0"/>
    <x v="8"/>
    <x v="3"/>
    <x v="10"/>
    <x v="1"/>
  </r>
  <r>
    <x v="1880"/>
    <x v="9"/>
    <x v="8"/>
    <n v="39.4"/>
    <n v="315.2"/>
    <x v="68"/>
    <d v="2025-03-11T00:00:00"/>
    <x v="2"/>
    <x v="1"/>
    <x v="2"/>
    <x v="0"/>
    <x v="8"/>
    <x v="3"/>
    <x v="10"/>
    <x v="2"/>
  </r>
  <r>
    <x v="1881"/>
    <x v="11"/>
    <x v="12"/>
    <n v="34.9"/>
    <n v="139.6"/>
    <x v="68"/>
    <d v="2025-03-12T00:00:00"/>
    <x v="2"/>
    <x v="0"/>
    <x v="2"/>
    <x v="0"/>
    <x v="8"/>
    <x v="1"/>
    <x v="10"/>
    <x v="2"/>
  </r>
  <r>
    <x v="1882"/>
    <x v="1"/>
    <x v="2"/>
    <n v="62.3"/>
    <n v="186.89999999999998"/>
    <x v="68"/>
    <d v="2025-03-12T00:00:00"/>
    <x v="1"/>
    <x v="4"/>
    <x v="2"/>
    <x v="0"/>
    <x v="8"/>
    <x v="1"/>
    <x v="10"/>
    <x v="1"/>
  </r>
  <r>
    <x v="1883"/>
    <x v="8"/>
    <x v="12"/>
    <n v="21.1"/>
    <n v="84.4"/>
    <x v="68"/>
    <d v="2025-03-13T00:00:00"/>
    <x v="1"/>
    <x v="3"/>
    <x v="0"/>
    <x v="0"/>
    <x v="8"/>
    <x v="2"/>
    <x v="10"/>
    <x v="1"/>
  </r>
  <r>
    <x v="1884"/>
    <x v="8"/>
    <x v="2"/>
    <n v="33.200000000000003"/>
    <n v="99.600000000000009"/>
    <x v="68"/>
    <d v="2025-03-24T00:00:00"/>
    <x v="0"/>
    <x v="0"/>
    <x v="4"/>
    <x v="0"/>
    <x v="8"/>
    <x v="12"/>
    <x v="10"/>
    <x v="0"/>
  </r>
  <r>
    <x v="1885"/>
    <x v="1"/>
    <x v="12"/>
    <n v="74.5"/>
    <n v="298"/>
    <x v="68"/>
    <d v="2025-03-11T00:00:00"/>
    <x v="1"/>
    <x v="4"/>
    <x v="0"/>
    <x v="0"/>
    <x v="8"/>
    <x v="3"/>
    <x v="10"/>
    <x v="1"/>
  </r>
  <r>
    <x v="1886"/>
    <x v="10"/>
    <x v="4"/>
    <n v="68.599999999999994"/>
    <n v="823.19999999999993"/>
    <x v="68"/>
    <d v="2025-03-13T00:00:00"/>
    <x v="2"/>
    <x v="0"/>
    <x v="2"/>
    <x v="0"/>
    <x v="8"/>
    <x v="2"/>
    <x v="10"/>
    <x v="2"/>
  </r>
  <r>
    <x v="1887"/>
    <x v="5"/>
    <x v="21"/>
    <n v="36.4"/>
    <n v="509.59999999999997"/>
    <x v="68"/>
    <d v="2025-03-12T00:00:00"/>
    <x v="2"/>
    <x v="0"/>
    <x v="1"/>
    <x v="0"/>
    <x v="9"/>
    <x v="1"/>
    <x v="10"/>
    <x v="2"/>
  </r>
  <r>
    <x v="1888"/>
    <x v="16"/>
    <x v="9"/>
    <n v="67.599999999999994"/>
    <n v="338"/>
    <x v="69"/>
    <d v="2025-03-14T00:00:00"/>
    <x v="2"/>
    <x v="4"/>
    <x v="1"/>
    <x v="0"/>
    <x v="9"/>
    <x v="2"/>
    <x v="10"/>
    <x v="2"/>
  </r>
  <r>
    <x v="1889"/>
    <x v="15"/>
    <x v="0"/>
    <n v="46.3"/>
    <n v="46.3"/>
    <x v="69"/>
    <d v="2025-03-12T00:00:00"/>
    <x v="1"/>
    <x v="2"/>
    <x v="0"/>
    <x v="0"/>
    <x v="9"/>
    <x v="3"/>
    <x v="10"/>
    <x v="1"/>
  </r>
  <r>
    <x v="1890"/>
    <x v="1"/>
    <x v="2"/>
    <n v="124.2"/>
    <n v="372.6"/>
    <x v="69"/>
    <d v="2025-03-13T00:00:00"/>
    <x v="2"/>
    <x v="1"/>
    <x v="2"/>
    <x v="0"/>
    <x v="11"/>
    <x v="1"/>
    <x v="10"/>
    <x v="2"/>
  </r>
  <r>
    <x v="1891"/>
    <x v="10"/>
    <x v="1"/>
    <n v="37"/>
    <n v="74"/>
    <x v="69"/>
    <d v="2025-03-17T00:00:00"/>
    <x v="1"/>
    <x v="0"/>
    <x v="0"/>
    <x v="0"/>
    <x v="11"/>
    <x v="4"/>
    <x v="10"/>
    <x v="1"/>
  </r>
  <r>
    <x v="1892"/>
    <x v="5"/>
    <x v="0"/>
    <n v="41.8"/>
    <n v="41.8"/>
    <x v="69"/>
    <d v="2025-03-12T00:00:00"/>
    <x v="1"/>
    <x v="2"/>
    <x v="0"/>
    <x v="0"/>
    <x v="31"/>
    <x v="3"/>
    <x v="10"/>
    <x v="1"/>
  </r>
  <r>
    <x v="1893"/>
    <x v="9"/>
    <x v="1"/>
    <n v="57.2"/>
    <n v="114.4"/>
    <x v="69"/>
    <d v="2025-03-13T00:00:00"/>
    <x v="1"/>
    <x v="2"/>
    <x v="1"/>
    <x v="0"/>
    <x v="20"/>
    <x v="1"/>
    <x v="10"/>
    <x v="1"/>
  </r>
  <r>
    <x v="1894"/>
    <x v="6"/>
    <x v="1"/>
    <n v="47.1"/>
    <n v="94.2"/>
    <x v="69"/>
    <d v="2025-03-13T00:00:00"/>
    <x v="2"/>
    <x v="0"/>
    <x v="4"/>
    <x v="0"/>
    <x v="20"/>
    <x v="1"/>
    <x v="10"/>
    <x v="2"/>
  </r>
  <r>
    <x v="1895"/>
    <x v="5"/>
    <x v="2"/>
    <n v="86.4"/>
    <n v="259.20000000000005"/>
    <x v="69"/>
    <d v="2025-03-12T00:00:00"/>
    <x v="1"/>
    <x v="2"/>
    <x v="1"/>
    <x v="0"/>
    <x v="52"/>
    <x v="3"/>
    <x v="10"/>
    <x v="1"/>
  </r>
  <r>
    <x v="1896"/>
    <x v="6"/>
    <x v="9"/>
    <n v="105"/>
    <n v="525"/>
    <x v="69"/>
    <d v="2025-03-14T00:00:00"/>
    <x v="1"/>
    <x v="0"/>
    <x v="0"/>
    <x v="0"/>
    <x v="13"/>
    <x v="2"/>
    <x v="10"/>
    <x v="1"/>
  </r>
  <r>
    <x v="1897"/>
    <x v="18"/>
    <x v="0"/>
    <n v="33"/>
    <n v="33"/>
    <x v="69"/>
    <d v="2025-03-14T00:00:00"/>
    <x v="1"/>
    <x v="4"/>
    <x v="0"/>
    <x v="0"/>
    <x v="21"/>
    <x v="2"/>
    <x v="10"/>
    <x v="1"/>
  </r>
  <r>
    <x v="1898"/>
    <x v="6"/>
    <x v="9"/>
    <n v="106.6"/>
    <n v="533"/>
    <x v="69"/>
    <d v="2025-03-24T00:00:00"/>
    <x v="2"/>
    <x v="2"/>
    <x v="0"/>
    <x v="0"/>
    <x v="1"/>
    <x v="10"/>
    <x v="10"/>
    <x v="2"/>
  </r>
  <r>
    <x v="1899"/>
    <x v="10"/>
    <x v="46"/>
    <n v="26.8"/>
    <n v="857.6"/>
    <x v="69"/>
    <d v="2025-03-12T00:00:00"/>
    <x v="2"/>
    <x v="2"/>
    <x v="0"/>
    <x v="0"/>
    <x v="1"/>
    <x v="3"/>
    <x v="10"/>
    <x v="2"/>
  </r>
  <r>
    <x v="1900"/>
    <x v="17"/>
    <x v="9"/>
    <n v="25.8"/>
    <n v="129"/>
    <x v="69"/>
    <d v="2025-03-11T00:00:00"/>
    <x v="2"/>
    <x v="1"/>
    <x v="2"/>
    <x v="0"/>
    <x v="3"/>
    <x v="7"/>
    <x v="10"/>
    <x v="2"/>
  </r>
  <r>
    <x v="1901"/>
    <x v="2"/>
    <x v="2"/>
    <n v="217"/>
    <n v="651"/>
    <x v="69"/>
    <d v="2025-03-12T00:00:00"/>
    <x v="2"/>
    <x v="1"/>
    <x v="1"/>
    <x v="0"/>
    <x v="3"/>
    <x v="3"/>
    <x v="10"/>
    <x v="2"/>
  </r>
  <r>
    <x v="1902"/>
    <x v="2"/>
    <x v="1"/>
    <n v="97.3"/>
    <n v="194.6"/>
    <x v="69"/>
    <d v="2025-03-12T00:00:00"/>
    <x v="1"/>
    <x v="2"/>
    <x v="4"/>
    <x v="0"/>
    <x v="3"/>
    <x v="3"/>
    <x v="10"/>
    <x v="1"/>
  </r>
  <r>
    <x v="1903"/>
    <x v="1"/>
    <x v="0"/>
    <n v="49.8"/>
    <n v="49.8"/>
    <x v="69"/>
    <d v="2025-03-12T00:00:00"/>
    <x v="2"/>
    <x v="0"/>
    <x v="0"/>
    <x v="0"/>
    <x v="3"/>
    <x v="3"/>
    <x v="10"/>
    <x v="2"/>
  </r>
  <r>
    <x v="1904"/>
    <x v="12"/>
    <x v="9"/>
    <n v="32.6"/>
    <n v="163"/>
    <x v="69"/>
    <d v="2025-03-12T00:00:00"/>
    <x v="2"/>
    <x v="0"/>
    <x v="0"/>
    <x v="0"/>
    <x v="3"/>
    <x v="3"/>
    <x v="10"/>
    <x v="2"/>
  </r>
  <r>
    <x v="1905"/>
    <x v="9"/>
    <x v="1"/>
    <n v="40.1"/>
    <n v="80.2"/>
    <x v="69"/>
    <d v="2025-03-14T00:00:00"/>
    <x v="1"/>
    <x v="1"/>
    <x v="2"/>
    <x v="0"/>
    <x v="3"/>
    <x v="2"/>
    <x v="10"/>
    <x v="1"/>
  </r>
  <r>
    <x v="1906"/>
    <x v="10"/>
    <x v="1"/>
    <n v="49.4"/>
    <n v="98.8"/>
    <x v="69"/>
    <d v="2025-03-13T00:00:00"/>
    <x v="1"/>
    <x v="1"/>
    <x v="0"/>
    <x v="0"/>
    <x v="3"/>
    <x v="1"/>
    <x v="10"/>
    <x v="1"/>
  </r>
  <r>
    <x v="1907"/>
    <x v="2"/>
    <x v="0"/>
    <n v="67.3"/>
    <n v="67.3"/>
    <x v="69"/>
    <d v="2025-03-12T00:00:00"/>
    <x v="2"/>
    <x v="0"/>
    <x v="2"/>
    <x v="0"/>
    <x v="3"/>
    <x v="3"/>
    <x v="10"/>
    <x v="2"/>
  </r>
  <r>
    <x v="1908"/>
    <x v="18"/>
    <x v="12"/>
    <n v="44.5"/>
    <n v="178"/>
    <x v="69"/>
    <d v="2025-03-14T00:00:00"/>
    <x v="0"/>
    <x v="1"/>
    <x v="0"/>
    <x v="0"/>
    <x v="3"/>
    <x v="2"/>
    <x v="10"/>
    <x v="0"/>
  </r>
  <r>
    <x v="1909"/>
    <x v="6"/>
    <x v="5"/>
    <n v="111.1"/>
    <n v="1222.0999999999999"/>
    <x v="69"/>
    <d v="2025-03-12T00:00:00"/>
    <x v="2"/>
    <x v="4"/>
    <x v="0"/>
    <x v="0"/>
    <x v="3"/>
    <x v="3"/>
    <x v="10"/>
    <x v="2"/>
  </r>
  <r>
    <x v="1910"/>
    <x v="8"/>
    <x v="2"/>
    <n v="19.7"/>
    <n v="59.099999999999994"/>
    <x v="69"/>
    <d v="2025-03-12T00:00:00"/>
    <x v="2"/>
    <x v="4"/>
    <x v="4"/>
    <x v="0"/>
    <x v="3"/>
    <x v="3"/>
    <x v="10"/>
    <x v="2"/>
  </r>
  <r>
    <x v="1911"/>
    <x v="1"/>
    <x v="0"/>
    <n v="40.299999999999997"/>
    <n v="40.299999999999997"/>
    <x v="69"/>
    <d v="2025-03-12T00:00:00"/>
    <x v="3"/>
    <x v="1"/>
    <x v="0"/>
    <x v="0"/>
    <x v="3"/>
    <x v="3"/>
    <x v="10"/>
    <x v="3"/>
  </r>
  <r>
    <x v="1912"/>
    <x v="6"/>
    <x v="1"/>
    <n v="108.8"/>
    <n v="217.6"/>
    <x v="69"/>
    <d v="2025-03-16T00:00:00"/>
    <x v="1"/>
    <x v="0"/>
    <x v="2"/>
    <x v="0"/>
    <x v="6"/>
    <x v="0"/>
    <x v="10"/>
    <x v="1"/>
  </r>
  <r>
    <x v="1913"/>
    <x v="8"/>
    <x v="2"/>
    <n v="48.2"/>
    <n v="144.60000000000002"/>
    <x v="69"/>
    <d v="2025-03-16T00:00:00"/>
    <x v="2"/>
    <x v="4"/>
    <x v="0"/>
    <x v="0"/>
    <x v="7"/>
    <x v="0"/>
    <x v="10"/>
    <x v="2"/>
  </r>
  <r>
    <x v="1914"/>
    <x v="2"/>
    <x v="2"/>
    <n v="104.7"/>
    <n v="314.10000000000002"/>
    <x v="69"/>
    <d v="2025-03-13T00:00:00"/>
    <x v="2"/>
    <x v="0"/>
    <x v="1"/>
    <x v="0"/>
    <x v="7"/>
    <x v="1"/>
    <x v="10"/>
    <x v="2"/>
  </r>
  <r>
    <x v="1915"/>
    <x v="1"/>
    <x v="1"/>
    <n v="80.599999999999994"/>
    <n v="161.19999999999999"/>
    <x v="69"/>
    <d v="2025-03-11T00:00:00"/>
    <x v="2"/>
    <x v="1"/>
    <x v="0"/>
    <x v="0"/>
    <x v="8"/>
    <x v="7"/>
    <x v="10"/>
    <x v="2"/>
  </r>
  <r>
    <x v="1916"/>
    <x v="6"/>
    <x v="0"/>
    <n v="65.5"/>
    <n v="65.5"/>
    <x v="69"/>
    <d v="2025-03-13T00:00:00"/>
    <x v="3"/>
    <x v="1"/>
    <x v="0"/>
    <x v="0"/>
    <x v="8"/>
    <x v="1"/>
    <x v="10"/>
    <x v="3"/>
  </r>
  <r>
    <x v="1917"/>
    <x v="9"/>
    <x v="2"/>
    <n v="61.4"/>
    <n v="184.2"/>
    <x v="69"/>
    <d v="2025-03-13T00:00:00"/>
    <x v="2"/>
    <x v="4"/>
    <x v="2"/>
    <x v="0"/>
    <x v="8"/>
    <x v="1"/>
    <x v="10"/>
    <x v="2"/>
  </r>
  <r>
    <x v="1918"/>
    <x v="0"/>
    <x v="0"/>
    <n v="12.5"/>
    <n v="12.5"/>
    <x v="70"/>
    <d v="2025-03-15T00:00:00"/>
    <x v="2"/>
    <x v="0"/>
    <x v="1"/>
    <x v="0"/>
    <x v="8"/>
    <x v="2"/>
    <x v="10"/>
    <x v="2"/>
  </r>
  <r>
    <x v="1919"/>
    <x v="4"/>
    <x v="12"/>
    <n v="35.1"/>
    <n v="140.4"/>
    <x v="70"/>
    <d v="2025-03-13T00:00:00"/>
    <x v="1"/>
    <x v="2"/>
    <x v="1"/>
    <x v="0"/>
    <x v="17"/>
    <x v="3"/>
    <x v="10"/>
    <x v="1"/>
  </r>
  <r>
    <x v="1920"/>
    <x v="5"/>
    <x v="1"/>
    <n v="55.7"/>
    <n v="111.4"/>
    <x v="70"/>
    <d v="2025-03-13T00:00:00"/>
    <x v="1"/>
    <x v="0"/>
    <x v="1"/>
    <x v="0"/>
    <x v="26"/>
    <x v="3"/>
    <x v="10"/>
    <x v="1"/>
  </r>
  <r>
    <x v="1921"/>
    <x v="7"/>
    <x v="1"/>
    <n v="57.7"/>
    <n v="115.4"/>
    <x v="70"/>
    <d v="2025-03-14T00:00:00"/>
    <x v="1"/>
    <x v="4"/>
    <x v="1"/>
    <x v="0"/>
    <x v="9"/>
    <x v="1"/>
    <x v="10"/>
    <x v="1"/>
  </r>
  <r>
    <x v="1922"/>
    <x v="2"/>
    <x v="13"/>
    <n v="85.7"/>
    <n v="514.20000000000005"/>
    <x v="70"/>
    <d v="2025-03-13T00:00:00"/>
    <x v="1"/>
    <x v="3"/>
    <x v="2"/>
    <x v="0"/>
    <x v="9"/>
    <x v="3"/>
    <x v="10"/>
    <x v="1"/>
  </r>
  <r>
    <x v="1923"/>
    <x v="2"/>
    <x v="2"/>
    <n v="86.9"/>
    <n v="260.70000000000005"/>
    <x v="70"/>
    <d v="2025-03-14T00:00:00"/>
    <x v="2"/>
    <x v="1"/>
    <x v="0"/>
    <x v="0"/>
    <x v="11"/>
    <x v="1"/>
    <x v="10"/>
    <x v="2"/>
  </r>
  <r>
    <x v="1924"/>
    <x v="18"/>
    <x v="1"/>
    <n v="46.4"/>
    <n v="92.8"/>
    <x v="70"/>
    <d v="2025-03-15T00:00:00"/>
    <x v="2"/>
    <x v="4"/>
    <x v="0"/>
    <x v="0"/>
    <x v="11"/>
    <x v="2"/>
    <x v="10"/>
    <x v="2"/>
  </r>
  <r>
    <x v="1925"/>
    <x v="5"/>
    <x v="2"/>
    <n v="25.4"/>
    <n v="76.199999999999989"/>
    <x v="70"/>
    <d v="2025-03-12T00:00:00"/>
    <x v="2"/>
    <x v="2"/>
    <x v="2"/>
    <x v="0"/>
    <x v="18"/>
    <x v="7"/>
    <x v="10"/>
    <x v="2"/>
  </r>
  <r>
    <x v="1926"/>
    <x v="10"/>
    <x v="2"/>
    <n v="47.8"/>
    <n v="143.39999999999998"/>
    <x v="70"/>
    <d v="2025-03-12T00:00:00"/>
    <x v="0"/>
    <x v="2"/>
    <x v="2"/>
    <x v="0"/>
    <x v="19"/>
    <x v="7"/>
    <x v="10"/>
    <x v="0"/>
  </r>
  <r>
    <x v="1927"/>
    <x v="8"/>
    <x v="10"/>
    <n v="18.399999999999999"/>
    <n v="349.59999999999997"/>
    <x v="70"/>
    <d v="2025-03-14T00:00:00"/>
    <x v="3"/>
    <x v="2"/>
    <x v="0"/>
    <x v="0"/>
    <x v="20"/>
    <x v="1"/>
    <x v="10"/>
    <x v="3"/>
  </r>
  <r>
    <x v="1928"/>
    <x v="12"/>
    <x v="2"/>
    <n v="65.5"/>
    <n v="196.5"/>
    <x v="70"/>
    <d v="2025-03-20T00:00:00"/>
    <x v="2"/>
    <x v="0"/>
    <x v="0"/>
    <x v="0"/>
    <x v="21"/>
    <x v="9"/>
    <x v="10"/>
    <x v="2"/>
  </r>
  <r>
    <x v="1929"/>
    <x v="10"/>
    <x v="1"/>
    <n v="50.6"/>
    <n v="101.2"/>
    <x v="70"/>
    <d v="2025-03-15T00:00:00"/>
    <x v="1"/>
    <x v="2"/>
    <x v="4"/>
    <x v="0"/>
    <x v="21"/>
    <x v="2"/>
    <x v="10"/>
    <x v="1"/>
  </r>
  <r>
    <x v="1930"/>
    <x v="3"/>
    <x v="9"/>
    <n v="69"/>
    <n v="345"/>
    <x v="70"/>
    <d v="2025-03-16T00:00:00"/>
    <x v="1"/>
    <x v="3"/>
    <x v="0"/>
    <x v="0"/>
    <x v="21"/>
    <x v="5"/>
    <x v="10"/>
    <x v="1"/>
  </r>
  <r>
    <x v="1931"/>
    <x v="9"/>
    <x v="8"/>
    <n v="51.1"/>
    <n v="408.8"/>
    <x v="70"/>
    <d v="2025-03-14T00:00:00"/>
    <x v="2"/>
    <x v="0"/>
    <x v="0"/>
    <x v="0"/>
    <x v="1"/>
    <x v="1"/>
    <x v="10"/>
    <x v="2"/>
  </r>
  <r>
    <x v="1932"/>
    <x v="9"/>
    <x v="0"/>
    <n v="36.1"/>
    <n v="36.1"/>
    <x v="70"/>
    <d v="2025-03-13T00:00:00"/>
    <x v="2"/>
    <x v="0"/>
    <x v="2"/>
    <x v="0"/>
    <x v="34"/>
    <x v="3"/>
    <x v="10"/>
    <x v="2"/>
  </r>
  <r>
    <x v="1933"/>
    <x v="14"/>
    <x v="0"/>
    <n v="18.7"/>
    <n v="18.7"/>
    <x v="70"/>
    <d v="2025-03-13T00:00:00"/>
    <x v="1"/>
    <x v="0"/>
    <x v="0"/>
    <x v="0"/>
    <x v="3"/>
    <x v="3"/>
    <x v="10"/>
    <x v="1"/>
  </r>
  <r>
    <x v="1934"/>
    <x v="17"/>
    <x v="0"/>
    <n v="30.1"/>
    <n v="30.1"/>
    <x v="70"/>
    <d v="2025-03-15T00:00:00"/>
    <x v="2"/>
    <x v="3"/>
    <x v="1"/>
    <x v="0"/>
    <x v="3"/>
    <x v="2"/>
    <x v="10"/>
    <x v="2"/>
  </r>
  <r>
    <x v="1935"/>
    <x v="8"/>
    <x v="0"/>
    <n v="16.3"/>
    <n v="16.3"/>
    <x v="70"/>
    <d v="2025-03-13T00:00:00"/>
    <x v="1"/>
    <x v="3"/>
    <x v="0"/>
    <x v="0"/>
    <x v="3"/>
    <x v="3"/>
    <x v="10"/>
    <x v="1"/>
  </r>
  <r>
    <x v="1936"/>
    <x v="1"/>
    <x v="2"/>
    <n v="63.8"/>
    <n v="191.39999999999998"/>
    <x v="70"/>
    <d v="2025-03-17T00:00:00"/>
    <x v="2"/>
    <x v="2"/>
    <x v="1"/>
    <x v="0"/>
    <x v="3"/>
    <x v="0"/>
    <x v="10"/>
    <x v="2"/>
  </r>
  <r>
    <x v="1937"/>
    <x v="1"/>
    <x v="3"/>
    <n v="73.900000000000006"/>
    <n v="517.30000000000007"/>
    <x v="70"/>
    <d v="2025-03-12T00:00:00"/>
    <x v="2"/>
    <x v="0"/>
    <x v="1"/>
    <x v="0"/>
    <x v="3"/>
    <x v="7"/>
    <x v="10"/>
    <x v="2"/>
  </r>
  <r>
    <x v="1938"/>
    <x v="0"/>
    <x v="1"/>
    <n v="20.2"/>
    <n v="40.4"/>
    <x v="70"/>
    <d v="2025-03-13T00:00:00"/>
    <x v="1"/>
    <x v="0"/>
    <x v="1"/>
    <x v="0"/>
    <x v="3"/>
    <x v="3"/>
    <x v="10"/>
    <x v="1"/>
  </r>
  <r>
    <x v="1939"/>
    <x v="11"/>
    <x v="5"/>
    <n v="29.5"/>
    <n v="324.5"/>
    <x v="70"/>
    <d v="2025-03-13T00:00:00"/>
    <x v="1"/>
    <x v="0"/>
    <x v="0"/>
    <x v="0"/>
    <x v="3"/>
    <x v="3"/>
    <x v="10"/>
    <x v="1"/>
  </r>
  <r>
    <x v="1940"/>
    <x v="15"/>
    <x v="3"/>
    <n v="37.9"/>
    <n v="265.3"/>
    <x v="70"/>
    <d v="2025-03-13T00:00:00"/>
    <x v="1"/>
    <x v="1"/>
    <x v="0"/>
    <x v="0"/>
    <x v="3"/>
    <x v="3"/>
    <x v="10"/>
    <x v="1"/>
  </r>
  <r>
    <x v="1941"/>
    <x v="2"/>
    <x v="0"/>
    <n v="56.5"/>
    <n v="56.5"/>
    <x v="70"/>
    <d v="2025-03-13T00:00:00"/>
    <x v="2"/>
    <x v="2"/>
    <x v="1"/>
    <x v="0"/>
    <x v="3"/>
    <x v="3"/>
    <x v="10"/>
    <x v="2"/>
  </r>
  <r>
    <x v="1942"/>
    <x v="2"/>
    <x v="1"/>
    <n v="66.900000000000006"/>
    <n v="133.80000000000001"/>
    <x v="70"/>
    <d v="2025-03-18T00:00:00"/>
    <x v="1"/>
    <x v="1"/>
    <x v="4"/>
    <x v="0"/>
    <x v="25"/>
    <x v="4"/>
    <x v="10"/>
    <x v="1"/>
  </r>
  <r>
    <x v="1943"/>
    <x v="2"/>
    <x v="9"/>
    <n v="51.9"/>
    <n v="259.5"/>
    <x v="70"/>
    <d v="2025-03-15T00:00:00"/>
    <x v="1"/>
    <x v="1"/>
    <x v="0"/>
    <x v="0"/>
    <x v="7"/>
    <x v="2"/>
    <x v="10"/>
    <x v="1"/>
  </r>
  <r>
    <x v="1944"/>
    <x v="2"/>
    <x v="1"/>
    <n v="75.599999999999994"/>
    <n v="151.19999999999999"/>
    <x v="70"/>
    <d v="2025-03-15T00:00:00"/>
    <x v="1"/>
    <x v="1"/>
    <x v="0"/>
    <x v="0"/>
    <x v="8"/>
    <x v="2"/>
    <x v="10"/>
    <x v="1"/>
  </r>
  <r>
    <x v="1945"/>
    <x v="12"/>
    <x v="13"/>
    <n v="47.3"/>
    <n v="283.79999999999995"/>
    <x v="70"/>
    <d v="2025-03-23T00:00:00"/>
    <x v="1"/>
    <x v="0"/>
    <x v="0"/>
    <x v="0"/>
    <x v="8"/>
    <x v="11"/>
    <x v="10"/>
    <x v="1"/>
  </r>
  <r>
    <x v="1946"/>
    <x v="4"/>
    <x v="0"/>
    <n v="20.6"/>
    <n v="20.6"/>
    <x v="70"/>
    <d v="2025-03-13T00:00:00"/>
    <x v="0"/>
    <x v="0"/>
    <x v="1"/>
    <x v="0"/>
    <x v="8"/>
    <x v="3"/>
    <x v="10"/>
    <x v="0"/>
  </r>
  <r>
    <x v="1947"/>
    <x v="6"/>
    <x v="2"/>
    <n v="49.7"/>
    <n v="149.10000000000002"/>
    <x v="70"/>
    <d v="2025-03-14T00:00:00"/>
    <x v="1"/>
    <x v="0"/>
    <x v="1"/>
    <x v="0"/>
    <x v="8"/>
    <x v="1"/>
    <x v="10"/>
    <x v="1"/>
  </r>
  <r>
    <x v="1948"/>
    <x v="3"/>
    <x v="0"/>
    <n v="37.9"/>
    <n v="37.9"/>
    <x v="70"/>
    <d v="2025-03-14T00:00:00"/>
    <x v="2"/>
    <x v="0"/>
    <x v="0"/>
    <x v="0"/>
    <x v="8"/>
    <x v="1"/>
    <x v="10"/>
    <x v="2"/>
  </r>
  <r>
    <x v="1949"/>
    <x v="13"/>
    <x v="20"/>
    <n v="32"/>
    <n v="480"/>
    <x v="70"/>
    <d v="2025-03-14T00:00:00"/>
    <x v="2"/>
    <x v="4"/>
    <x v="0"/>
    <x v="0"/>
    <x v="11"/>
    <x v="1"/>
    <x v="10"/>
    <x v="2"/>
  </r>
  <r>
    <x v="1950"/>
    <x v="10"/>
    <x v="16"/>
    <n v="38.5"/>
    <n v="693"/>
    <x v="71"/>
    <d v="2025-03-14T00:00:00"/>
    <x v="1"/>
    <x v="0"/>
    <x v="2"/>
    <x v="0"/>
    <x v="11"/>
    <x v="3"/>
    <x v="10"/>
    <x v="1"/>
  </r>
  <r>
    <x v="1951"/>
    <x v="0"/>
    <x v="12"/>
    <n v="11.7"/>
    <n v="46.8"/>
    <x v="71"/>
    <d v="2025-03-15T00:00:00"/>
    <x v="2"/>
    <x v="1"/>
    <x v="0"/>
    <x v="0"/>
    <x v="20"/>
    <x v="1"/>
    <x v="10"/>
    <x v="2"/>
  </r>
  <r>
    <x v="1952"/>
    <x v="3"/>
    <x v="13"/>
    <n v="83.8"/>
    <n v="502.79999999999995"/>
    <x v="71"/>
    <d v="2025-03-14T00:00:00"/>
    <x v="1"/>
    <x v="0"/>
    <x v="0"/>
    <x v="0"/>
    <x v="21"/>
    <x v="3"/>
    <x v="10"/>
    <x v="1"/>
  </r>
  <r>
    <x v="1953"/>
    <x v="0"/>
    <x v="3"/>
    <n v="14"/>
    <n v="98"/>
    <x v="71"/>
    <d v="2025-03-16T00:00:00"/>
    <x v="1"/>
    <x v="0"/>
    <x v="1"/>
    <x v="0"/>
    <x v="22"/>
    <x v="2"/>
    <x v="10"/>
    <x v="1"/>
  </r>
  <r>
    <x v="1954"/>
    <x v="16"/>
    <x v="12"/>
    <n v="77.3"/>
    <n v="309.2"/>
    <x v="71"/>
    <d v="2025-03-15T00:00:00"/>
    <x v="2"/>
    <x v="4"/>
    <x v="2"/>
    <x v="0"/>
    <x v="3"/>
    <x v="1"/>
    <x v="10"/>
    <x v="2"/>
  </r>
  <r>
    <x v="1955"/>
    <x v="2"/>
    <x v="1"/>
    <n v="76.900000000000006"/>
    <n v="153.80000000000001"/>
    <x v="71"/>
    <d v="2025-03-17T00:00:00"/>
    <x v="2"/>
    <x v="0"/>
    <x v="1"/>
    <x v="0"/>
    <x v="3"/>
    <x v="5"/>
    <x v="10"/>
    <x v="2"/>
  </r>
  <r>
    <x v="1956"/>
    <x v="1"/>
    <x v="0"/>
    <n v="48"/>
    <n v="48"/>
    <x v="71"/>
    <d v="2025-03-15T00:00:00"/>
    <x v="2"/>
    <x v="1"/>
    <x v="2"/>
    <x v="0"/>
    <x v="3"/>
    <x v="1"/>
    <x v="10"/>
    <x v="2"/>
  </r>
  <r>
    <x v="1957"/>
    <x v="2"/>
    <x v="0"/>
    <n v="94.5"/>
    <n v="94.5"/>
    <x v="71"/>
    <d v="2025-03-16T00:00:00"/>
    <x v="1"/>
    <x v="1"/>
    <x v="1"/>
    <x v="0"/>
    <x v="3"/>
    <x v="2"/>
    <x v="10"/>
    <x v="1"/>
  </r>
  <r>
    <x v="1958"/>
    <x v="10"/>
    <x v="2"/>
    <n v="58.4"/>
    <n v="175.2"/>
    <x v="71"/>
    <d v="2025-03-15T00:00:00"/>
    <x v="2"/>
    <x v="1"/>
    <x v="2"/>
    <x v="0"/>
    <x v="3"/>
    <x v="1"/>
    <x v="10"/>
    <x v="2"/>
  </r>
  <r>
    <x v="1959"/>
    <x v="7"/>
    <x v="15"/>
    <n v="42.2"/>
    <n v="548.6"/>
    <x v="71"/>
    <d v="2025-03-13T00:00:00"/>
    <x v="1"/>
    <x v="0"/>
    <x v="0"/>
    <x v="0"/>
    <x v="25"/>
    <x v="7"/>
    <x v="10"/>
    <x v="1"/>
  </r>
  <r>
    <x v="1960"/>
    <x v="6"/>
    <x v="1"/>
    <n v="152.19999999999999"/>
    <n v="304.39999999999998"/>
    <x v="71"/>
    <d v="2025-03-14T00:00:00"/>
    <x v="1"/>
    <x v="4"/>
    <x v="1"/>
    <x v="0"/>
    <x v="25"/>
    <x v="3"/>
    <x v="10"/>
    <x v="1"/>
  </r>
  <r>
    <x v="1961"/>
    <x v="6"/>
    <x v="25"/>
    <n v="72"/>
    <n v="1728"/>
    <x v="71"/>
    <d v="2025-03-14T00:00:00"/>
    <x v="1"/>
    <x v="0"/>
    <x v="1"/>
    <x v="0"/>
    <x v="6"/>
    <x v="3"/>
    <x v="10"/>
    <x v="1"/>
  </r>
  <r>
    <x v="1962"/>
    <x v="1"/>
    <x v="44"/>
    <n v="70.900000000000006"/>
    <n v="1630.7"/>
    <x v="71"/>
    <d v="2025-03-14T00:00:00"/>
    <x v="2"/>
    <x v="2"/>
    <x v="0"/>
    <x v="0"/>
    <x v="8"/>
    <x v="3"/>
    <x v="10"/>
    <x v="2"/>
  </r>
  <r>
    <x v="1963"/>
    <x v="2"/>
    <x v="1"/>
    <n v="53.7"/>
    <n v="107.4"/>
    <x v="71"/>
    <d v="2025-03-14T00:00:00"/>
    <x v="1"/>
    <x v="2"/>
    <x v="2"/>
    <x v="0"/>
    <x v="8"/>
    <x v="3"/>
    <x v="10"/>
    <x v="1"/>
  </r>
  <r>
    <x v="1964"/>
    <x v="9"/>
    <x v="12"/>
    <n v="42.9"/>
    <n v="171.6"/>
    <x v="71"/>
    <d v="2025-03-14T00:00:00"/>
    <x v="2"/>
    <x v="2"/>
    <x v="4"/>
    <x v="0"/>
    <x v="9"/>
    <x v="3"/>
    <x v="10"/>
    <x v="2"/>
  </r>
  <r>
    <x v="1965"/>
    <x v="2"/>
    <x v="3"/>
    <n v="107.5"/>
    <n v="752.5"/>
    <x v="71"/>
    <d v="2025-03-14T00:00:00"/>
    <x v="1"/>
    <x v="1"/>
    <x v="0"/>
    <x v="0"/>
    <x v="11"/>
    <x v="3"/>
    <x v="10"/>
    <x v="1"/>
  </r>
  <r>
    <x v="1966"/>
    <x v="17"/>
    <x v="27"/>
    <n v="21.5"/>
    <n v="344"/>
    <x v="71"/>
    <d v="2025-03-14T00:00:00"/>
    <x v="1"/>
    <x v="1"/>
    <x v="1"/>
    <x v="0"/>
    <x v="32"/>
    <x v="3"/>
    <x v="10"/>
    <x v="1"/>
  </r>
  <r>
    <x v="1967"/>
    <x v="3"/>
    <x v="9"/>
    <n v="85.3"/>
    <n v="426.5"/>
    <x v="71"/>
    <d v="2025-03-15T00:00:00"/>
    <x v="2"/>
    <x v="3"/>
    <x v="0"/>
    <x v="0"/>
    <x v="18"/>
    <x v="1"/>
    <x v="10"/>
    <x v="2"/>
  </r>
  <r>
    <x v="1968"/>
    <x v="7"/>
    <x v="9"/>
    <n v="80.8"/>
    <n v="404"/>
    <x v="71"/>
    <d v="2025-03-21T00:00:00"/>
    <x v="3"/>
    <x v="1"/>
    <x v="1"/>
    <x v="0"/>
    <x v="19"/>
    <x v="9"/>
    <x v="10"/>
    <x v="3"/>
  </r>
  <r>
    <x v="1969"/>
    <x v="2"/>
    <x v="2"/>
    <n v="123.1"/>
    <n v="369.29999999999995"/>
    <x v="71"/>
    <d v="2025-03-15T00:00:00"/>
    <x v="0"/>
    <x v="2"/>
    <x v="0"/>
    <x v="0"/>
    <x v="21"/>
    <x v="1"/>
    <x v="10"/>
    <x v="0"/>
  </r>
  <r>
    <x v="1970"/>
    <x v="8"/>
    <x v="1"/>
    <n v="36.9"/>
    <n v="73.8"/>
    <x v="71"/>
    <d v="2025-03-15T00:00:00"/>
    <x v="2"/>
    <x v="2"/>
    <x v="4"/>
    <x v="0"/>
    <x v="51"/>
    <x v="1"/>
    <x v="10"/>
    <x v="2"/>
  </r>
  <r>
    <x v="1971"/>
    <x v="11"/>
    <x v="9"/>
    <n v="40"/>
    <n v="200"/>
    <x v="71"/>
    <d v="2025-03-14T00:00:00"/>
    <x v="1"/>
    <x v="0"/>
    <x v="0"/>
    <x v="0"/>
    <x v="1"/>
    <x v="3"/>
    <x v="10"/>
    <x v="1"/>
  </r>
  <r>
    <x v="1972"/>
    <x v="6"/>
    <x v="2"/>
    <n v="55.5"/>
    <n v="166.5"/>
    <x v="71"/>
    <d v="2025-03-14T00:00:00"/>
    <x v="1"/>
    <x v="4"/>
    <x v="2"/>
    <x v="0"/>
    <x v="1"/>
    <x v="3"/>
    <x v="10"/>
    <x v="1"/>
  </r>
  <r>
    <x v="1973"/>
    <x v="0"/>
    <x v="12"/>
    <n v="20.5"/>
    <n v="82"/>
    <x v="71"/>
    <d v="2025-03-17T00:00:00"/>
    <x v="2"/>
    <x v="4"/>
    <x v="0"/>
    <x v="0"/>
    <x v="1"/>
    <x v="5"/>
    <x v="10"/>
    <x v="2"/>
  </r>
  <r>
    <x v="1974"/>
    <x v="18"/>
    <x v="12"/>
    <n v="50.1"/>
    <n v="200.4"/>
    <x v="71"/>
    <d v="2025-03-14T00:00:00"/>
    <x v="2"/>
    <x v="4"/>
    <x v="0"/>
    <x v="0"/>
    <x v="1"/>
    <x v="3"/>
    <x v="10"/>
    <x v="2"/>
  </r>
  <r>
    <x v="1975"/>
    <x v="9"/>
    <x v="0"/>
    <n v="35.9"/>
    <n v="35.9"/>
    <x v="71"/>
    <d v="2025-03-15T00:00:00"/>
    <x v="1"/>
    <x v="1"/>
    <x v="2"/>
    <x v="0"/>
    <x v="1"/>
    <x v="1"/>
    <x v="10"/>
    <x v="1"/>
  </r>
  <r>
    <x v="1976"/>
    <x v="13"/>
    <x v="12"/>
    <n v="29.4"/>
    <n v="117.6"/>
    <x v="72"/>
    <d v="2025-03-15T00:00:00"/>
    <x v="1"/>
    <x v="2"/>
    <x v="2"/>
    <x v="0"/>
    <x v="33"/>
    <x v="3"/>
    <x v="10"/>
    <x v="1"/>
  </r>
  <r>
    <x v="1977"/>
    <x v="8"/>
    <x v="9"/>
    <n v="29.1"/>
    <n v="145.5"/>
    <x v="72"/>
    <d v="2025-03-22T00:00:00"/>
    <x v="3"/>
    <x v="2"/>
    <x v="1"/>
    <x v="0"/>
    <x v="33"/>
    <x v="9"/>
    <x v="10"/>
    <x v="3"/>
  </r>
  <r>
    <x v="1978"/>
    <x v="8"/>
    <x v="2"/>
    <n v="33.5"/>
    <n v="100.5"/>
    <x v="72"/>
    <d v="2025-03-26T00:00:00"/>
    <x v="1"/>
    <x v="0"/>
    <x v="2"/>
    <x v="0"/>
    <x v="22"/>
    <x v="13"/>
    <x v="10"/>
    <x v="1"/>
  </r>
  <r>
    <x v="1979"/>
    <x v="4"/>
    <x v="7"/>
    <n v="36"/>
    <n v="360"/>
    <x v="72"/>
    <d v="2025-03-14T00:00:00"/>
    <x v="1"/>
    <x v="3"/>
    <x v="2"/>
    <x v="0"/>
    <x v="3"/>
    <x v="7"/>
    <x v="10"/>
    <x v="1"/>
  </r>
  <r>
    <x v="1980"/>
    <x v="16"/>
    <x v="2"/>
    <n v="57.3"/>
    <n v="171.89999999999998"/>
    <x v="72"/>
    <d v="2025-03-18T00:00:00"/>
    <x v="2"/>
    <x v="0"/>
    <x v="2"/>
    <x v="0"/>
    <x v="3"/>
    <x v="5"/>
    <x v="10"/>
    <x v="2"/>
  </r>
  <r>
    <x v="1981"/>
    <x v="1"/>
    <x v="0"/>
    <n v="81.400000000000006"/>
    <n v="81.400000000000006"/>
    <x v="72"/>
    <d v="2025-03-15T00:00:00"/>
    <x v="2"/>
    <x v="2"/>
    <x v="2"/>
    <x v="0"/>
    <x v="3"/>
    <x v="3"/>
    <x v="10"/>
    <x v="2"/>
  </r>
  <r>
    <x v="1982"/>
    <x v="10"/>
    <x v="1"/>
    <n v="35.299999999999997"/>
    <n v="70.599999999999994"/>
    <x v="72"/>
    <d v="2025-03-18T00:00:00"/>
    <x v="1"/>
    <x v="0"/>
    <x v="2"/>
    <x v="0"/>
    <x v="3"/>
    <x v="5"/>
    <x v="10"/>
    <x v="1"/>
  </r>
  <r>
    <x v="1983"/>
    <x v="3"/>
    <x v="0"/>
    <n v="36.1"/>
    <n v="36.1"/>
    <x v="72"/>
    <d v="2025-03-15T00:00:00"/>
    <x v="2"/>
    <x v="4"/>
    <x v="0"/>
    <x v="0"/>
    <x v="3"/>
    <x v="3"/>
    <x v="10"/>
    <x v="2"/>
  </r>
  <r>
    <x v="1984"/>
    <x v="1"/>
    <x v="1"/>
    <n v="36.700000000000003"/>
    <n v="73.400000000000006"/>
    <x v="72"/>
    <d v="2025-03-16T00:00:00"/>
    <x v="2"/>
    <x v="0"/>
    <x v="2"/>
    <x v="0"/>
    <x v="3"/>
    <x v="1"/>
    <x v="10"/>
    <x v="2"/>
  </r>
  <r>
    <x v="1985"/>
    <x v="10"/>
    <x v="0"/>
    <n v="20.9"/>
    <n v="20.9"/>
    <x v="72"/>
    <d v="2025-03-16T00:00:00"/>
    <x v="2"/>
    <x v="0"/>
    <x v="4"/>
    <x v="0"/>
    <x v="3"/>
    <x v="1"/>
    <x v="10"/>
    <x v="2"/>
  </r>
  <r>
    <x v="1986"/>
    <x v="12"/>
    <x v="2"/>
    <n v="58.8"/>
    <n v="176.39999999999998"/>
    <x v="72"/>
    <d v="2025-03-18T00:00:00"/>
    <x v="1"/>
    <x v="0"/>
    <x v="2"/>
    <x v="0"/>
    <x v="25"/>
    <x v="5"/>
    <x v="10"/>
    <x v="1"/>
  </r>
  <r>
    <x v="1987"/>
    <x v="2"/>
    <x v="2"/>
    <n v="97.6"/>
    <n v="292.79999999999995"/>
    <x v="73"/>
    <d v="2025-03-17T00:00:00"/>
    <x v="0"/>
    <x v="0"/>
    <x v="0"/>
    <x v="0"/>
    <x v="6"/>
    <x v="1"/>
    <x v="10"/>
    <x v="0"/>
  </r>
  <r>
    <x v="1988"/>
    <x v="1"/>
    <x v="1"/>
    <n v="58.7"/>
    <n v="117.4"/>
    <x v="73"/>
    <d v="2025-03-18T00:00:00"/>
    <x v="2"/>
    <x v="0"/>
    <x v="1"/>
    <x v="0"/>
    <x v="6"/>
    <x v="2"/>
    <x v="10"/>
    <x v="2"/>
  </r>
  <r>
    <x v="1989"/>
    <x v="6"/>
    <x v="9"/>
    <n v="71.900000000000006"/>
    <n v="359.5"/>
    <x v="73"/>
    <d v="2025-03-16T00:00:00"/>
    <x v="0"/>
    <x v="0"/>
    <x v="1"/>
    <x v="0"/>
    <x v="6"/>
    <x v="3"/>
    <x v="10"/>
    <x v="0"/>
  </r>
  <r>
    <x v="1990"/>
    <x v="1"/>
    <x v="1"/>
    <n v="62.4"/>
    <n v="124.8"/>
    <x v="73"/>
    <d v="2025-03-17T00:00:00"/>
    <x v="0"/>
    <x v="0"/>
    <x v="1"/>
    <x v="0"/>
    <x v="8"/>
    <x v="1"/>
    <x v="10"/>
    <x v="0"/>
  </r>
  <r>
    <x v="1991"/>
    <x v="6"/>
    <x v="27"/>
    <n v="53.8"/>
    <n v="860.8"/>
    <x v="73"/>
    <d v="2025-03-16T00:00:00"/>
    <x v="2"/>
    <x v="1"/>
    <x v="0"/>
    <x v="0"/>
    <x v="8"/>
    <x v="3"/>
    <x v="10"/>
    <x v="2"/>
  </r>
  <r>
    <x v="1992"/>
    <x v="9"/>
    <x v="0"/>
    <n v="43.8"/>
    <n v="43.8"/>
    <x v="73"/>
    <d v="2025-03-22T00:00:00"/>
    <x v="2"/>
    <x v="0"/>
    <x v="2"/>
    <x v="0"/>
    <x v="8"/>
    <x v="6"/>
    <x v="10"/>
    <x v="2"/>
  </r>
  <r>
    <x v="1993"/>
    <x v="5"/>
    <x v="2"/>
    <n v="53.6"/>
    <n v="160.80000000000001"/>
    <x v="73"/>
    <d v="2025-03-16T00:00:00"/>
    <x v="1"/>
    <x v="3"/>
    <x v="0"/>
    <x v="0"/>
    <x v="8"/>
    <x v="3"/>
    <x v="10"/>
    <x v="1"/>
  </r>
  <r>
    <x v="1994"/>
    <x v="12"/>
    <x v="1"/>
    <n v="84.3"/>
    <n v="168.6"/>
    <x v="73"/>
    <d v="2025-03-18T00:00:00"/>
    <x v="1"/>
    <x v="4"/>
    <x v="1"/>
    <x v="0"/>
    <x v="8"/>
    <x v="2"/>
    <x v="10"/>
    <x v="1"/>
  </r>
  <r>
    <x v="1995"/>
    <x v="6"/>
    <x v="11"/>
    <n v="117.9"/>
    <n v="1061.1000000000001"/>
    <x v="73"/>
    <d v="2025-03-16T00:00:00"/>
    <x v="2"/>
    <x v="1"/>
    <x v="2"/>
    <x v="0"/>
    <x v="8"/>
    <x v="3"/>
    <x v="10"/>
    <x v="2"/>
  </r>
  <r>
    <x v="1996"/>
    <x v="4"/>
    <x v="8"/>
    <n v="30"/>
    <n v="240"/>
    <x v="73"/>
    <d v="2025-03-16T00:00:00"/>
    <x v="2"/>
    <x v="1"/>
    <x v="0"/>
    <x v="0"/>
    <x v="26"/>
    <x v="3"/>
    <x v="10"/>
    <x v="2"/>
  </r>
  <r>
    <x v="1997"/>
    <x v="14"/>
    <x v="2"/>
    <n v="37.299999999999997"/>
    <n v="111.89999999999999"/>
    <x v="73"/>
    <d v="2025-03-16T00:00:00"/>
    <x v="1"/>
    <x v="2"/>
    <x v="0"/>
    <x v="0"/>
    <x v="9"/>
    <x v="3"/>
    <x v="10"/>
    <x v="1"/>
  </r>
  <r>
    <x v="1998"/>
    <x v="4"/>
    <x v="11"/>
    <n v="25.1"/>
    <n v="225.9"/>
    <x v="73"/>
    <d v="2025-03-17T00:00:00"/>
    <x v="1"/>
    <x v="1"/>
    <x v="2"/>
    <x v="0"/>
    <x v="11"/>
    <x v="1"/>
    <x v="10"/>
    <x v="1"/>
  </r>
  <r>
    <x v="1999"/>
    <x v="8"/>
    <x v="5"/>
    <n v="36"/>
    <n v="396"/>
    <x v="73"/>
    <d v="2025-03-25T00:00:00"/>
    <x v="1"/>
    <x v="1"/>
    <x v="0"/>
    <x v="0"/>
    <x v="18"/>
    <x v="14"/>
    <x v="10"/>
    <x v="1"/>
  </r>
  <r>
    <x v="2000"/>
    <x v="16"/>
    <x v="2"/>
    <n v="48.5"/>
    <n v="145.5"/>
    <x v="73"/>
    <d v="2025-03-19T00:00:00"/>
    <x v="2"/>
    <x v="1"/>
    <x v="0"/>
    <x v="0"/>
    <x v="19"/>
    <x v="5"/>
    <x v="10"/>
    <x v="2"/>
  </r>
  <r>
    <x v="2001"/>
    <x v="17"/>
    <x v="13"/>
    <n v="21.1"/>
    <n v="126.60000000000001"/>
    <x v="73"/>
    <d v="2025-03-16T00:00:00"/>
    <x v="1"/>
    <x v="1"/>
    <x v="2"/>
    <x v="0"/>
    <x v="21"/>
    <x v="3"/>
    <x v="10"/>
    <x v="1"/>
  </r>
  <r>
    <x v="2002"/>
    <x v="15"/>
    <x v="21"/>
    <n v="43.2"/>
    <n v="604.80000000000007"/>
    <x v="73"/>
    <d v="2025-03-16T00:00:00"/>
    <x v="3"/>
    <x v="0"/>
    <x v="1"/>
    <x v="0"/>
    <x v="21"/>
    <x v="3"/>
    <x v="10"/>
    <x v="3"/>
  </r>
  <r>
    <x v="2003"/>
    <x v="9"/>
    <x v="1"/>
    <n v="21.1"/>
    <n v="42.2"/>
    <x v="73"/>
    <d v="2025-03-16T00:00:00"/>
    <x v="0"/>
    <x v="3"/>
    <x v="1"/>
    <x v="0"/>
    <x v="21"/>
    <x v="3"/>
    <x v="10"/>
    <x v="0"/>
  </r>
  <r>
    <x v="2004"/>
    <x v="6"/>
    <x v="12"/>
    <n v="41.3"/>
    <n v="165.2"/>
    <x v="73"/>
    <d v="2025-03-17T00:00:00"/>
    <x v="2"/>
    <x v="3"/>
    <x v="2"/>
    <x v="0"/>
    <x v="1"/>
    <x v="1"/>
    <x v="10"/>
    <x v="2"/>
  </r>
  <r>
    <x v="2005"/>
    <x v="8"/>
    <x v="1"/>
    <n v="15.3"/>
    <n v="30.6"/>
    <x v="73"/>
    <d v="2025-03-18T00:00:00"/>
    <x v="0"/>
    <x v="2"/>
    <x v="2"/>
    <x v="0"/>
    <x v="1"/>
    <x v="2"/>
    <x v="10"/>
    <x v="0"/>
  </r>
  <r>
    <x v="2006"/>
    <x v="1"/>
    <x v="0"/>
    <n v="54.6"/>
    <n v="54.6"/>
    <x v="73"/>
    <d v="2025-03-17T00:00:00"/>
    <x v="1"/>
    <x v="1"/>
    <x v="1"/>
    <x v="0"/>
    <x v="2"/>
    <x v="1"/>
    <x v="10"/>
    <x v="1"/>
  </r>
  <r>
    <x v="2007"/>
    <x v="8"/>
    <x v="0"/>
    <n v="15.9"/>
    <n v="15.9"/>
    <x v="73"/>
    <d v="2025-03-16T00:00:00"/>
    <x v="1"/>
    <x v="0"/>
    <x v="1"/>
    <x v="0"/>
    <x v="22"/>
    <x v="3"/>
    <x v="10"/>
    <x v="1"/>
  </r>
  <r>
    <x v="2008"/>
    <x v="9"/>
    <x v="0"/>
    <n v="50.2"/>
    <n v="50.2"/>
    <x v="73"/>
    <d v="2025-03-17T00:00:00"/>
    <x v="2"/>
    <x v="3"/>
    <x v="2"/>
    <x v="0"/>
    <x v="34"/>
    <x v="1"/>
    <x v="10"/>
    <x v="2"/>
  </r>
  <r>
    <x v="2009"/>
    <x v="11"/>
    <x v="12"/>
    <n v="85.1"/>
    <n v="340.4"/>
    <x v="73"/>
    <d v="2025-03-16T00:00:00"/>
    <x v="2"/>
    <x v="3"/>
    <x v="4"/>
    <x v="0"/>
    <x v="34"/>
    <x v="3"/>
    <x v="10"/>
    <x v="2"/>
  </r>
  <r>
    <x v="2010"/>
    <x v="11"/>
    <x v="1"/>
    <n v="41.4"/>
    <n v="82.8"/>
    <x v="73"/>
    <d v="2025-03-16T00:00:00"/>
    <x v="2"/>
    <x v="0"/>
    <x v="2"/>
    <x v="0"/>
    <x v="3"/>
    <x v="3"/>
    <x v="10"/>
    <x v="2"/>
  </r>
  <r>
    <x v="2011"/>
    <x v="4"/>
    <x v="3"/>
    <n v="32.700000000000003"/>
    <n v="228.90000000000003"/>
    <x v="73"/>
    <d v="2025-03-16T00:00:00"/>
    <x v="2"/>
    <x v="2"/>
    <x v="1"/>
    <x v="0"/>
    <x v="3"/>
    <x v="3"/>
    <x v="10"/>
    <x v="2"/>
  </r>
  <r>
    <x v="2012"/>
    <x v="4"/>
    <x v="1"/>
    <n v="41.6"/>
    <n v="83.2"/>
    <x v="73"/>
    <d v="2025-03-17T00:00:00"/>
    <x v="1"/>
    <x v="4"/>
    <x v="1"/>
    <x v="0"/>
    <x v="3"/>
    <x v="1"/>
    <x v="10"/>
    <x v="1"/>
  </r>
  <r>
    <x v="2013"/>
    <x v="5"/>
    <x v="12"/>
    <n v="64.8"/>
    <n v="259.2"/>
    <x v="73"/>
    <d v="2025-03-16T00:00:00"/>
    <x v="0"/>
    <x v="2"/>
    <x v="0"/>
    <x v="0"/>
    <x v="3"/>
    <x v="3"/>
    <x v="10"/>
    <x v="0"/>
  </r>
  <r>
    <x v="2014"/>
    <x v="15"/>
    <x v="1"/>
    <n v="33.6"/>
    <n v="67.2"/>
    <x v="73"/>
    <d v="2025-03-16T00:00:00"/>
    <x v="1"/>
    <x v="0"/>
    <x v="2"/>
    <x v="0"/>
    <x v="3"/>
    <x v="3"/>
    <x v="10"/>
    <x v="1"/>
  </r>
  <r>
    <x v="2015"/>
    <x v="6"/>
    <x v="2"/>
    <n v="100.7"/>
    <n v="302.10000000000002"/>
    <x v="73"/>
    <d v="2025-03-16T00:00:00"/>
    <x v="0"/>
    <x v="1"/>
    <x v="0"/>
    <x v="0"/>
    <x v="3"/>
    <x v="3"/>
    <x v="10"/>
    <x v="0"/>
  </r>
  <r>
    <x v="2016"/>
    <x v="4"/>
    <x v="1"/>
    <n v="49.3"/>
    <n v="98.6"/>
    <x v="74"/>
    <d v="2025-03-18T00:00:00"/>
    <x v="2"/>
    <x v="4"/>
    <x v="2"/>
    <x v="0"/>
    <x v="3"/>
    <x v="1"/>
    <x v="11"/>
    <x v="2"/>
  </r>
  <r>
    <x v="2017"/>
    <x v="2"/>
    <x v="13"/>
    <n v="97"/>
    <n v="582"/>
    <x v="74"/>
    <d v="2025-03-19T00:00:00"/>
    <x v="1"/>
    <x v="2"/>
    <x v="2"/>
    <x v="0"/>
    <x v="3"/>
    <x v="2"/>
    <x v="11"/>
    <x v="1"/>
  </r>
  <r>
    <x v="2018"/>
    <x v="0"/>
    <x v="13"/>
    <n v="25.2"/>
    <n v="151.19999999999999"/>
    <x v="74"/>
    <d v="2025-03-19T00:00:00"/>
    <x v="2"/>
    <x v="4"/>
    <x v="2"/>
    <x v="0"/>
    <x v="3"/>
    <x v="2"/>
    <x v="11"/>
    <x v="2"/>
  </r>
  <r>
    <x v="2019"/>
    <x v="0"/>
    <x v="5"/>
    <n v="12.2"/>
    <n v="134.19999999999999"/>
    <x v="74"/>
    <d v="2025-03-17T00:00:00"/>
    <x v="0"/>
    <x v="0"/>
    <x v="1"/>
    <x v="0"/>
    <x v="3"/>
    <x v="3"/>
    <x v="11"/>
    <x v="0"/>
  </r>
  <r>
    <x v="2020"/>
    <x v="8"/>
    <x v="3"/>
    <n v="38.799999999999997"/>
    <n v="271.59999999999997"/>
    <x v="74"/>
    <d v="2025-03-18T00:00:00"/>
    <x v="2"/>
    <x v="1"/>
    <x v="1"/>
    <x v="0"/>
    <x v="23"/>
    <x v="1"/>
    <x v="11"/>
    <x v="2"/>
  </r>
  <r>
    <x v="2021"/>
    <x v="2"/>
    <x v="12"/>
    <n v="53.2"/>
    <n v="212.8"/>
    <x v="74"/>
    <d v="2025-03-17T00:00:00"/>
    <x v="1"/>
    <x v="0"/>
    <x v="2"/>
    <x v="0"/>
    <x v="8"/>
    <x v="3"/>
    <x v="11"/>
    <x v="1"/>
  </r>
  <r>
    <x v="2022"/>
    <x v="6"/>
    <x v="3"/>
    <n v="151"/>
    <n v="1057"/>
    <x v="74"/>
    <d v="2025-03-17T00:00:00"/>
    <x v="3"/>
    <x v="1"/>
    <x v="1"/>
    <x v="0"/>
    <x v="8"/>
    <x v="3"/>
    <x v="11"/>
    <x v="3"/>
  </r>
  <r>
    <x v="2023"/>
    <x v="1"/>
    <x v="1"/>
    <n v="37.1"/>
    <n v="74.2"/>
    <x v="74"/>
    <d v="2025-03-17T00:00:00"/>
    <x v="2"/>
    <x v="4"/>
    <x v="0"/>
    <x v="0"/>
    <x v="8"/>
    <x v="3"/>
    <x v="11"/>
    <x v="2"/>
  </r>
  <r>
    <x v="2024"/>
    <x v="5"/>
    <x v="1"/>
    <n v="38.9"/>
    <n v="77.8"/>
    <x v="74"/>
    <d v="2025-03-17T00:00:00"/>
    <x v="1"/>
    <x v="4"/>
    <x v="0"/>
    <x v="0"/>
    <x v="8"/>
    <x v="3"/>
    <x v="11"/>
    <x v="1"/>
  </r>
  <r>
    <x v="2025"/>
    <x v="10"/>
    <x v="1"/>
    <n v="35.200000000000003"/>
    <n v="70.400000000000006"/>
    <x v="74"/>
    <d v="2025-03-17T00:00:00"/>
    <x v="1"/>
    <x v="0"/>
    <x v="2"/>
    <x v="0"/>
    <x v="17"/>
    <x v="3"/>
    <x v="11"/>
    <x v="1"/>
  </r>
  <r>
    <x v="2026"/>
    <x v="0"/>
    <x v="1"/>
    <n v="22.3"/>
    <n v="44.6"/>
    <x v="74"/>
    <d v="2025-03-18T00:00:00"/>
    <x v="2"/>
    <x v="1"/>
    <x v="0"/>
    <x v="0"/>
    <x v="9"/>
    <x v="1"/>
    <x v="11"/>
    <x v="2"/>
  </r>
  <r>
    <x v="2027"/>
    <x v="9"/>
    <x v="0"/>
    <n v="43.3"/>
    <n v="43.3"/>
    <x v="74"/>
    <d v="2025-03-19T00:00:00"/>
    <x v="2"/>
    <x v="0"/>
    <x v="2"/>
    <x v="0"/>
    <x v="11"/>
    <x v="2"/>
    <x v="11"/>
    <x v="2"/>
  </r>
  <r>
    <x v="2028"/>
    <x v="6"/>
    <x v="13"/>
    <n v="75.900000000000006"/>
    <n v="455.40000000000003"/>
    <x v="74"/>
    <d v="2025-03-22T00:00:00"/>
    <x v="1"/>
    <x v="0"/>
    <x v="0"/>
    <x v="0"/>
    <x v="11"/>
    <x v="4"/>
    <x v="11"/>
    <x v="1"/>
  </r>
  <r>
    <x v="2029"/>
    <x v="6"/>
    <x v="2"/>
    <n v="78.7"/>
    <n v="236.10000000000002"/>
    <x v="74"/>
    <d v="2025-03-20T00:00:00"/>
    <x v="2"/>
    <x v="2"/>
    <x v="1"/>
    <x v="0"/>
    <x v="11"/>
    <x v="5"/>
    <x v="11"/>
    <x v="2"/>
  </r>
  <r>
    <x v="2030"/>
    <x v="1"/>
    <x v="0"/>
    <n v="66.3"/>
    <n v="66.3"/>
    <x v="74"/>
    <d v="2025-03-20T00:00:00"/>
    <x v="2"/>
    <x v="0"/>
    <x v="2"/>
    <x v="0"/>
    <x v="19"/>
    <x v="5"/>
    <x v="11"/>
    <x v="2"/>
  </r>
  <r>
    <x v="2031"/>
    <x v="8"/>
    <x v="1"/>
    <n v="33.6"/>
    <n v="67.2"/>
    <x v="74"/>
    <d v="2025-03-16T00:00:00"/>
    <x v="1"/>
    <x v="0"/>
    <x v="1"/>
    <x v="0"/>
    <x v="19"/>
    <x v="7"/>
    <x v="11"/>
    <x v="1"/>
  </r>
  <r>
    <x v="2032"/>
    <x v="2"/>
    <x v="3"/>
    <n v="61.4"/>
    <n v="429.8"/>
    <x v="74"/>
    <d v="2025-03-17T00:00:00"/>
    <x v="1"/>
    <x v="4"/>
    <x v="0"/>
    <x v="0"/>
    <x v="19"/>
    <x v="3"/>
    <x v="11"/>
    <x v="1"/>
  </r>
  <r>
    <x v="2033"/>
    <x v="8"/>
    <x v="1"/>
    <n v="17.5"/>
    <n v="35"/>
    <x v="74"/>
    <d v="2025-03-19T00:00:00"/>
    <x v="2"/>
    <x v="0"/>
    <x v="0"/>
    <x v="0"/>
    <x v="21"/>
    <x v="2"/>
    <x v="11"/>
    <x v="2"/>
  </r>
  <r>
    <x v="2034"/>
    <x v="8"/>
    <x v="1"/>
    <n v="32.5"/>
    <n v="65"/>
    <x v="74"/>
    <d v="2025-03-19T00:00:00"/>
    <x v="2"/>
    <x v="1"/>
    <x v="0"/>
    <x v="0"/>
    <x v="21"/>
    <x v="2"/>
    <x v="11"/>
    <x v="2"/>
  </r>
  <r>
    <x v="2035"/>
    <x v="4"/>
    <x v="0"/>
    <n v="34.6"/>
    <n v="34.6"/>
    <x v="74"/>
    <d v="2025-03-17T00:00:00"/>
    <x v="2"/>
    <x v="4"/>
    <x v="0"/>
    <x v="0"/>
    <x v="21"/>
    <x v="3"/>
    <x v="11"/>
    <x v="2"/>
  </r>
  <r>
    <x v="2036"/>
    <x v="2"/>
    <x v="0"/>
    <n v="75.900000000000006"/>
    <n v="75.900000000000006"/>
    <x v="74"/>
    <d v="2025-03-16T00:00:00"/>
    <x v="1"/>
    <x v="1"/>
    <x v="2"/>
    <x v="0"/>
    <x v="21"/>
    <x v="7"/>
    <x v="11"/>
    <x v="1"/>
  </r>
  <r>
    <x v="2037"/>
    <x v="1"/>
    <x v="2"/>
    <n v="42.1"/>
    <n v="126.30000000000001"/>
    <x v="74"/>
    <d v="2025-03-19T00:00:00"/>
    <x v="1"/>
    <x v="1"/>
    <x v="1"/>
    <x v="0"/>
    <x v="21"/>
    <x v="2"/>
    <x v="11"/>
    <x v="1"/>
  </r>
  <r>
    <x v="2038"/>
    <x v="7"/>
    <x v="2"/>
    <n v="65.3"/>
    <n v="195.89999999999998"/>
    <x v="74"/>
    <d v="2025-03-23T00:00:00"/>
    <x v="1"/>
    <x v="0"/>
    <x v="0"/>
    <x v="0"/>
    <x v="1"/>
    <x v="6"/>
    <x v="11"/>
    <x v="1"/>
  </r>
  <r>
    <x v="2039"/>
    <x v="15"/>
    <x v="0"/>
    <n v="20.6"/>
    <n v="20.6"/>
    <x v="74"/>
    <d v="2025-03-19T00:00:00"/>
    <x v="1"/>
    <x v="3"/>
    <x v="0"/>
    <x v="0"/>
    <x v="42"/>
    <x v="2"/>
    <x v="11"/>
    <x v="1"/>
  </r>
  <r>
    <x v="2040"/>
    <x v="8"/>
    <x v="3"/>
    <n v="16.5"/>
    <n v="115.5"/>
    <x v="74"/>
    <d v="2025-03-17T00:00:00"/>
    <x v="1"/>
    <x v="1"/>
    <x v="1"/>
    <x v="0"/>
    <x v="2"/>
    <x v="3"/>
    <x v="11"/>
    <x v="1"/>
  </r>
  <r>
    <x v="2041"/>
    <x v="16"/>
    <x v="7"/>
    <n v="36.200000000000003"/>
    <n v="362"/>
    <x v="74"/>
    <d v="2025-03-18T00:00:00"/>
    <x v="1"/>
    <x v="0"/>
    <x v="2"/>
    <x v="0"/>
    <x v="2"/>
    <x v="1"/>
    <x v="11"/>
    <x v="1"/>
  </r>
  <r>
    <x v="2042"/>
    <x v="6"/>
    <x v="0"/>
    <n v="53.2"/>
    <n v="53.2"/>
    <x v="74"/>
    <d v="2025-03-17T00:00:00"/>
    <x v="2"/>
    <x v="0"/>
    <x v="1"/>
    <x v="0"/>
    <x v="22"/>
    <x v="3"/>
    <x v="11"/>
    <x v="2"/>
  </r>
  <r>
    <x v="2043"/>
    <x v="2"/>
    <x v="21"/>
    <n v="176"/>
    <n v="2464"/>
    <x v="74"/>
    <d v="2025-03-17T00:00:00"/>
    <x v="2"/>
    <x v="0"/>
    <x v="1"/>
    <x v="0"/>
    <x v="3"/>
    <x v="3"/>
    <x v="11"/>
    <x v="2"/>
  </r>
  <r>
    <x v="2044"/>
    <x v="1"/>
    <x v="0"/>
    <n v="52.4"/>
    <n v="52.4"/>
    <x v="74"/>
    <d v="2025-03-17T00:00:00"/>
    <x v="1"/>
    <x v="1"/>
    <x v="0"/>
    <x v="0"/>
    <x v="3"/>
    <x v="3"/>
    <x v="11"/>
    <x v="1"/>
  </r>
  <r>
    <x v="2045"/>
    <x v="10"/>
    <x v="2"/>
    <n v="48.2"/>
    <n v="144.60000000000002"/>
    <x v="74"/>
    <d v="2025-03-17T00:00:00"/>
    <x v="2"/>
    <x v="1"/>
    <x v="2"/>
    <x v="0"/>
    <x v="3"/>
    <x v="3"/>
    <x v="11"/>
    <x v="2"/>
  </r>
  <r>
    <x v="2046"/>
    <x v="15"/>
    <x v="0"/>
    <n v="51.6"/>
    <n v="51.6"/>
    <x v="74"/>
    <d v="2025-03-20T00:00:00"/>
    <x v="2"/>
    <x v="2"/>
    <x v="1"/>
    <x v="0"/>
    <x v="3"/>
    <x v="5"/>
    <x v="11"/>
    <x v="2"/>
  </r>
  <r>
    <x v="2047"/>
    <x v="0"/>
    <x v="12"/>
    <n v="33.700000000000003"/>
    <n v="134.80000000000001"/>
    <x v="75"/>
    <d v="2025-03-18T00:00:00"/>
    <x v="1"/>
    <x v="0"/>
    <x v="0"/>
    <x v="0"/>
    <x v="3"/>
    <x v="3"/>
    <x v="11"/>
    <x v="1"/>
  </r>
  <r>
    <x v="2048"/>
    <x v="4"/>
    <x v="7"/>
    <n v="36.299999999999997"/>
    <n v="363"/>
    <x v="75"/>
    <d v="2025-03-19T00:00:00"/>
    <x v="2"/>
    <x v="4"/>
    <x v="1"/>
    <x v="0"/>
    <x v="3"/>
    <x v="1"/>
    <x v="11"/>
    <x v="2"/>
  </r>
  <r>
    <x v="2049"/>
    <x v="8"/>
    <x v="0"/>
    <n v="23.4"/>
    <n v="23.4"/>
    <x v="75"/>
    <d v="2025-03-22T00:00:00"/>
    <x v="2"/>
    <x v="1"/>
    <x v="2"/>
    <x v="0"/>
    <x v="3"/>
    <x v="0"/>
    <x v="11"/>
    <x v="2"/>
  </r>
  <r>
    <x v="2050"/>
    <x v="15"/>
    <x v="8"/>
    <n v="56.6"/>
    <n v="452.8"/>
    <x v="75"/>
    <d v="2025-03-19T00:00:00"/>
    <x v="2"/>
    <x v="1"/>
    <x v="0"/>
    <x v="0"/>
    <x v="3"/>
    <x v="1"/>
    <x v="11"/>
    <x v="2"/>
  </r>
  <r>
    <x v="2051"/>
    <x v="15"/>
    <x v="1"/>
    <n v="26.8"/>
    <n v="53.6"/>
    <x v="75"/>
    <d v="2025-03-18T00:00:00"/>
    <x v="1"/>
    <x v="0"/>
    <x v="0"/>
    <x v="0"/>
    <x v="4"/>
    <x v="3"/>
    <x v="11"/>
    <x v="1"/>
  </r>
  <r>
    <x v="2052"/>
    <x v="0"/>
    <x v="2"/>
    <n v="11.3"/>
    <n v="33.900000000000006"/>
    <x v="75"/>
    <d v="2025-03-19T00:00:00"/>
    <x v="1"/>
    <x v="2"/>
    <x v="0"/>
    <x v="0"/>
    <x v="25"/>
    <x v="1"/>
    <x v="11"/>
    <x v="1"/>
  </r>
  <r>
    <x v="2053"/>
    <x v="6"/>
    <x v="2"/>
    <n v="60.1"/>
    <n v="180.3"/>
    <x v="75"/>
    <d v="2025-03-20T00:00:00"/>
    <x v="2"/>
    <x v="0"/>
    <x v="0"/>
    <x v="0"/>
    <x v="7"/>
    <x v="2"/>
    <x v="11"/>
    <x v="2"/>
  </r>
  <r>
    <x v="2054"/>
    <x v="0"/>
    <x v="5"/>
    <n v="27.7"/>
    <n v="304.7"/>
    <x v="75"/>
    <d v="2025-03-22T00:00:00"/>
    <x v="2"/>
    <x v="0"/>
    <x v="0"/>
    <x v="0"/>
    <x v="8"/>
    <x v="0"/>
    <x v="11"/>
    <x v="2"/>
  </r>
  <r>
    <x v="2055"/>
    <x v="15"/>
    <x v="0"/>
    <n v="71.400000000000006"/>
    <n v="71.400000000000006"/>
    <x v="75"/>
    <d v="2025-03-20T00:00:00"/>
    <x v="1"/>
    <x v="0"/>
    <x v="2"/>
    <x v="0"/>
    <x v="8"/>
    <x v="2"/>
    <x v="11"/>
    <x v="1"/>
  </r>
  <r>
    <x v="2056"/>
    <x v="2"/>
    <x v="1"/>
    <n v="66.7"/>
    <n v="133.4"/>
    <x v="75"/>
    <d v="2025-03-18T00:00:00"/>
    <x v="2"/>
    <x v="0"/>
    <x v="2"/>
    <x v="0"/>
    <x v="8"/>
    <x v="3"/>
    <x v="11"/>
    <x v="2"/>
  </r>
  <r>
    <x v="2057"/>
    <x v="13"/>
    <x v="9"/>
    <n v="39.1"/>
    <n v="195.5"/>
    <x v="75"/>
    <d v="2025-03-18T00:00:00"/>
    <x v="2"/>
    <x v="0"/>
    <x v="0"/>
    <x v="0"/>
    <x v="8"/>
    <x v="3"/>
    <x v="11"/>
    <x v="2"/>
  </r>
  <r>
    <x v="2058"/>
    <x v="8"/>
    <x v="12"/>
    <n v="24.9"/>
    <n v="99.6"/>
    <x v="75"/>
    <d v="2025-03-22T00:00:00"/>
    <x v="1"/>
    <x v="1"/>
    <x v="2"/>
    <x v="0"/>
    <x v="8"/>
    <x v="0"/>
    <x v="11"/>
    <x v="1"/>
  </r>
  <r>
    <x v="2059"/>
    <x v="5"/>
    <x v="9"/>
    <n v="29.2"/>
    <n v="146"/>
    <x v="75"/>
    <d v="2025-03-18T00:00:00"/>
    <x v="1"/>
    <x v="0"/>
    <x v="2"/>
    <x v="0"/>
    <x v="17"/>
    <x v="3"/>
    <x v="11"/>
    <x v="1"/>
  </r>
  <r>
    <x v="2060"/>
    <x v="13"/>
    <x v="21"/>
    <n v="28.3"/>
    <n v="396.2"/>
    <x v="75"/>
    <d v="2025-03-19T00:00:00"/>
    <x v="2"/>
    <x v="1"/>
    <x v="0"/>
    <x v="0"/>
    <x v="11"/>
    <x v="1"/>
    <x v="11"/>
    <x v="2"/>
  </r>
  <r>
    <x v="2061"/>
    <x v="9"/>
    <x v="2"/>
    <n v="37.799999999999997"/>
    <n v="113.39999999999999"/>
    <x v="75"/>
    <d v="2025-03-18T00:00:00"/>
    <x v="2"/>
    <x v="0"/>
    <x v="1"/>
    <x v="0"/>
    <x v="11"/>
    <x v="3"/>
    <x v="11"/>
    <x v="2"/>
  </r>
  <r>
    <x v="2062"/>
    <x v="14"/>
    <x v="3"/>
    <n v="28.1"/>
    <n v="196.70000000000002"/>
    <x v="75"/>
    <d v="2025-03-23T00:00:00"/>
    <x v="2"/>
    <x v="2"/>
    <x v="0"/>
    <x v="0"/>
    <x v="11"/>
    <x v="4"/>
    <x v="11"/>
    <x v="2"/>
  </r>
  <r>
    <x v="2063"/>
    <x v="1"/>
    <x v="2"/>
    <n v="59.7"/>
    <n v="179.10000000000002"/>
    <x v="75"/>
    <d v="2025-03-19T00:00:00"/>
    <x v="2"/>
    <x v="2"/>
    <x v="0"/>
    <x v="0"/>
    <x v="11"/>
    <x v="1"/>
    <x v="11"/>
    <x v="2"/>
  </r>
  <r>
    <x v="2064"/>
    <x v="16"/>
    <x v="0"/>
    <n v="71.900000000000006"/>
    <n v="71.900000000000006"/>
    <x v="75"/>
    <d v="2025-03-18T00:00:00"/>
    <x v="1"/>
    <x v="1"/>
    <x v="1"/>
    <x v="0"/>
    <x v="11"/>
    <x v="3"/>
    <x v="11"/>
    <x v="1"/>
  </r>
  <r>
    <x v="2065"/>
    <x v="1"/>
    <x v="1"/>
    <n v="56.9"/>
    <n v="113.8"/>
    <x v="75"/>
    <d v="2025-03-18T00:00:00"/>
    <x v="1"/>
    <x v="2"/>
    <x v="0"/>
    <x v="0"/>
    <x v="13"/>
    <x v="3"/>
    <x v="11"/>
    <x v="1"/>
  </r>
  <r>
    <x v="2066"/>
    <x v="8"/>
    <x v="1"/>
    <n v="15.8"/>
    <n v="31.6"/>
    <x v="75"/>
    <d v="2025-03-20T00:00:00"/>
    <x v="2"/>
    <x v="2"/>
    <x v="1"/>
    <x v="0"/>
    <x v="1"/>
    <x v="2"/>
    <x v="11"/>
    <x v="2"/>
  </r>
  <r>
    <x v="2067"/>
    <x v="11"/>
    <x v="12"/>
    <n v="61.7"/>
    <n v="246.8"/>
    <x v="75"/>
    <d v="2025-03-19T00:00:00"/>
    <x v="2"/>
    <x v="2"/>
    <x v="0"/>
    <x v="0"/>
    <x v="22"/>
    <x v="1"/>
    <x v="11"/>
    <x v="2"/>
  </r>
  <r>
    <x v="2068"/>
    <x v="2"/>
    <x v="7"/>
    <n v="105.2"/>
    <n v="1052"/>
    <x v="75"/>
    <d v="2025-03-19T00:00:00"/>
    <x v="1"/>
    <x v="1"/>
    <x v="4"/>
    <x v="0"/>
    <x v="3"/>
    <x v="1"/>
    <x v="11"/>
    <x v="1"/>
  </r>
  <r>
    <x v="2069"/>
    <x v="0"/>
    <x v="1"/>
    <n v="17"/>
    <n v="34"/>
    <x v="75"/>
    <d v="2025-03-19T00:00:00"/>
    <x v="2"/>
    <x v="2"/>
    <x v="0"/>
    <x v="0"/>
    <x v="3"/>
    <x v="1"/>
    <x v="11"/>
    <x v="2"/>
  </r>
  <r>
    <x v="2070"/>
    <x v="6"/>
    <x v="2"/>
    <n v="84.1"/>
    <n v="252.29999999999998"/>
    <x v="75"/>
    <d v="2025-03-18T00:00:00"/>
    <x v="1"/>
    <x v="2"/>
    <x v="0"/>
    <x v="0"/>
    <x v="3"/>
    <x v="3"/>
    <x v="11"/>
    <x v="1"/>
  </r>
  <r>
    <x v="2071"/>
    <x v="3"/>
    <x v="12"/>
    <n v="59.5"/>
    <n v="238"/>
    <x v="75"/>
    <d v="2025-03-22T00:00:00"/>
    <x v="1"/>
    <x v="0"/>
    <x v="2"/>
    <x v="0"/>
    <x v="3"/>
    <x v="0"/>
    <x v="11"/>
    <x v="1"/>
  </r>
  <r>
    <x v="2072"/>
    <x v="8"/>
    <x v="1"/>
    <n v="57.5"/>
    <n v="115"/>
    <x v="75"/>
    <d v="2025-03-19T00:00:00"/>
    <x v="1"/>
    <x v="1"/>
    <x v="2"/>
    <x v="0"/>
    <x v="3"/>
    <x v="1"/>
    <x v="11"/>
    <x v="1"/>
  </r>
  <r>
    <x v="2073"/>
    <x v="8"/>
    <x v="0"/>
    <n v="34.299999999999997"/>
    <n v="34.299999999999997"/>
    <x v="75"/>
    <d v="2025-03-18T00:00:00"/>
    <x v="2"/>
    <x v="4"/>
    <x v="2"/>
    <x v="0"/>
    <x v="3"/>
    <x v="3"/>
    <x v="11"/>
    <x v="2"/>
  </r>
  <r>
    <x v="2074"/>
    <x v="5"/>
    <x v="1"/>
    <n v="27.8"/>
    <n v="55.6"/>
    <x v="76"/>
    <d v="2025-03-20T00:00:00"/>
    <x v="2"/>
    <x v="0"/>
    <x v="0"/>
    <x v="0"/>
    <x v="3"/>
    <x v="1"/>
    <x v="11"/>
    <x v="2"/>
  </r>
  <r>
    <x v="2075"/>
    <x v="12"/>
    <x v="1"/>
    <n v="85"/>
    <n v="170"/>
    <x v="76"/>
    <d v="2025-03-18T00:00:00"/>
    <x v="1"/>
    <x v="2"/>
    <x v="2"/>
    <x v="0"/>
    <x v="3"/>
    <x v="7"/>
    <x v="11"/>
    <x v="1"/>
  </r>
  <r>
    <x v="2076"/>
    <x v="6"/>
    <x v="1"/>
    <n v="95"/>
    <n v="190"/>
    <x v="76"/>
    <d v="2025-03-20T00:00:00"/>
    <x v="2"/>
    <x v="0"/>
    <x v="0"/>
    <x v="0"/>
    <x v="3"/>
    <x v="1"/>
    <x v="11"/>
    <x v="2"/>
  </r>
  <r>
    <x v="2077"/>
    <x v="16"/>
    <x v="1"/>
    <n v="32"/>
    <n v="64"/>
    <x v="76"/>
    <d v="2025-03-20T00:00:00"/>
    <x v="1"/>
    <x v="0"/>
    <x v="1"/>
    <x v="0"/>
    <x v="3"/>
    <x v="1"/>
    <x v="11"/>
    <x v="1"/>
  </r>
  <r>
    <x v="2078"/>
    <x v="2"/>
    <x v="1"/>
    <n v="65.2"/>
    <n v="130.4"/>
    <x v="76"/>
    <d v="2025-03-19T00:00:00"/>
    <x v="2"/>
    <x v="1"/>
    <x v="0"/>
    <x v="0"/>
    <x v="3"/>
    <x v="3"/>
    <x v="11"/>
    <x v="2"/>
  </r>
  <r>
    <x v="2079"/>
    <x v="17"/>
    <x v="12"/>
    <n v="22"/>
    <n v="88"/>
    <x v="76"/>
    <d v="2025-03-19T00:00:00"/>
    <x v="1"/>
    <x v="1"/>
    <x v="2"/>
    <x v="0"/>
    <x v="3"/>
    <x v="3"/>
    <x v="11"/>
    <x v="1"/>
  </r>
  <r>
    <x v="2080"/>
    <x v="15"/>
    <x v="2"/>
    <n v="69.400000000000006"/>
    <n v="208.20000000000002"/>
    <x v="76"/>
    <d v="2025-03-21T00:00:00"/>
    <x v="1"/>
    <x v="1"/>
    <x v="2"/>
    <x v="0"/>
    <x v="3"/>
    <x v="2"/>
    <x v="11"/>
    <x v="1"/>
  </r>
  <r>
    <x v="2081"/>
    <x v="10"/>
    <x v="13"/>
    <n v="31.5"/>
    <n v="189"/>
    <x v="76"/>
    <d v="2025-03-20T00:00:00"/>
    <x v="2"/>
    <x v="0"/>
    <x v="2"/>
    <x v="0"/>
    <x v="3"/>
    <x v="1"/>
    <x v="11"/>
    <x v="2"/>
  </r>
  <r>
    <x v="2082"/>
    <x v="6"/>
    <x v="0"/>
    <n v="45.8"/>
    <n v="45.8"/>
    <x v="76"/>
    <d v="2025-03-22T00:00:00"/>
    <x v="3"/>
    <x v="0"/>
    <x v="0"/>
    <x v="0"/>
    <x v="3"/>
    <x v="5"/>
    <x v="11"/>
    <x v="3"/>
  </r>
  <r>
    <x v="2083"/>
    <x v="19"/>
    <x v="12"/>
    <n v="12.8"/>
    <n v="51.2"/>
    <x v="76"/>
    <d v="2025-03-25T00:00:00"/>
    <x v="2"/>
    <x v="1"/>
    <x v="1"/>
    <x v="0"/>
    <x v="5"/>
    <x v="6"/>
    <x v="11"/>
    <x v="2"/>
  </r>
  <r>
    <x v="2084"/>
    <x v="5"/>
    <x v="2"/>
    <n v="115.3"/>
    <n v="345.9"/>
    <x v="76"/>
    <d v="2025-03-19T00:00:00"/>
    <x v="2"/>
    <x v="2"/>
    <x v="2"/>
    <x v="0"/>
    <x v="6"/>
    <x v="3"/>
    <x v="11"/>
    <x v="2"/>
  </r>
  <r>
    <x v="2085"/>
    <x v="5"/>
    <x v="1"/>
    <n v="85"/>
    <n v="170"/>
    <x v="76"/>
    <d v="2025-03-20T00:00:00"/>
    <x v="2"/>
    <x v="1"/>
    <x v="0"/>
    <x v="0"/>
    <x v="7"/>
    <x v="1"/>
    <x v="11"/>
    <x v="2"/>
  </r>
  <r>
    <x v="2086"/>
    <x v="8"/>
    <x v="2"/>
    <n v="56.6"/>
    <n v="169.8"/>
    <x v="76"/>
    <d v="2025-03-19T00:00:00"/>
    <x v="2"/>
    <x v="1"/>
    <x v="2"/>
    <x v="0"/>
    <x v="7"/>
    <x v="3"/>
    <x v="11"/>
    <x v="2"/>
  </r>
  <r>
    <x v="2087"/>
    <x v="15"/>
    <x v="6"/>
    <n v="46.3"/>
    <n v="1250.0999999999999"/>
    <x v="76"/>
    <d v="2025-03-21T00:00:00"/>
    <x v="1"/>
    <x v="0"/>
    <x v="0"/>
    <x v="0"/>
    <x v="7"/>
    <x v="2"/>
    <x v="11"/>
    <x v="1"/>
  </r>
  <r>
    <x v="2088"/>
    <x v="14"/>
    <x v="12"/>
    <n v="23"/>
    <n v="92"/>
    <x v="76"/>
    <d v="2025-03-22T00:00:00"/>
    <x v="1"/>
    <x v="3"/>
    <x v="2"/>
    <x v="0"/>
    <x v="7"/>
    <x v="5"/>
    <x v="11"/>
    <x v="1"/>
  </r>
  <r>
    <x v="2089"/>
    <x v="8"/>
    <x v="13"/>
    <n v="42.1"/>
    <n v="252.60000000000002"/>
    <x v="76"/>
    <d v="2025-03-20T00:00:00"/>
    <x v="1"/>
    <x v="4"/>
    <x v="0"/>
    <x v="0"/>
    <x v="8"/>
    <x v="1"/>
    <x v="11"/>
    <x v="1"/>
  </r>
  <r>
    <x v="2090"/>
    <x v="5"/>
    <x v="3"/>
    <n v="57.4"/>
    <n v="401.8"/>
    <x v="76"/>
    <d v="2025-03-22T00:00:00"/>
    <x v="2"/>
    <x v="1"/>
    <x v="4"/>
    <x v="0"/>
    <x v="8"/>
    <x v="5"/>
    <x v="11"/>
    <x v="2"/>
  </r>
  <r>
    <x v="2091"/>
    <x v="0"/>
    <x v="13"/>
    <n v="13.2"/>
    <n v="79.199999999999989"/>
    <x v="76"/>
    <d v="2025-03-22T00:00:00"/>
    <x v="1"/>
    <x v="2"/>
    <x v="0"/>
    <x v="0"/>
    <x v="8"/>
    <x v="5"/>
    <x v="11"/>
    <x v="1"/>
  </r>
  <r>
    <x v="2092"/>
    <x v="6"/>
    <x v="2"/>
    <n v="52.3"/>
    <n v="156.89999999999998"/>
    <x v="76"/>
    <d v="2025-03-19T00:00:00"/>
    <x v="1"/>
    <x v="1"/>
    <x v="0"/>
    <x v="0"/>
    <x v="8"/>
    <x v="3"/>
    <x v="11"/>
    <x v="1"/>
  </r>
  <r>
    <x v="2093"/>
    <x v="8"/>
    <x v="1"/>
    <n v="15.7"/>
    <n v="31.4"/>
    <x v="76"/>
    <d v="2025-03-21T00:00:00"/>
    <x v="1"/>
    <x v="1"/>
    <x v="2"/>
    <x v="0"/>
    <x v="8"/>
    <x v="2"/>
    <x v="11"/>
    <x v="1"/>
  </r>
  <r>
    <x v="2094"/>
    <x v="7"/>
    <x v="2"/>
    <n v="35"/>
    <n v="105"/>
    <x v="76"/>
    <d v="2025-03-21T00:00:00"/>
    <x v="2"/>
    <x v="1"/>
    <x v="2"/>
    <x v="0"/>
    <x v="9"/>
    <x v="2"/>
    <x v="11"/>
    <x v="2"/>
  </r>
  <r>
    <x v="2095"/>
    <x v="4"/>
    <x v="2"/>
    <n v="26.6"/>
    <n v="79.800000000000011"/>
    <x v="76"/>
    <d v="2025-03-18T00:00:00"/>
    <x v="1"/>
    <x v="1"/>
    <x v="2"/>
    <x v="0"/>
    <x v="11"/>
    <x v="7"/>
    <x v="11"/>
    <x v="1"/>
  </r>
  <r>
    <x v="2096"/>
    <x v="4"/>
    <x v="8"/>
    <n v="47.9"/>
    <n v="383.2"/>
    <x v="77"/>
    <d v="2025-03-20T00:00:00"/>
    <x v="2"/>
    <x v="3"/>
    <x v="2"/>
    <x v="0"/>
    <x v="20"/>
    <x v="3"/>
    <x v="11"/>
    <x v="2"/>
  </r>
  <r>
    <x v="2097"/>
    <x v="5"/>
    <x v="0"/>
    <n v="80.099999999999994"/>
    <n v="80.099999999999994"/>
    <x v="77"/>
    <d v="2025-03-20T00:00:00"/>
    <x v="1"/>
    <x v="2"/>
    <x v="0"/>
    <x v="0"/>
    <x v="21"/>
    <x v="3"/>
    <x v="11"/>
    <x v="1"/>
  </r>
  <r>
    <x v="2098"/>
    <x v="6"/>
    <x v="9"/>
    <n v="50.4"/>
    <n v="252"/>
    <x v="77"/>
    <d v="2025-03-20T00:00:00"/>
    <x v="1"/>
    <x v="1"/>
    <x v="2"/>
    <x v="0"/>
    <x v="21"/>
    <x v="3"/>
    <x v="11"/>
    <x v="1"/>
  </r>
  <r>
    <x v="2099"/>
    <x v="10"/>
    <x v="3"/>
    <n v="43.3"/>
    <n v="303.09999999999997"/>
    <x v="77"/>
    <d v="2025-03-20T00:00:00"/>
    <x v="1"/>
    <x v="2"/>
    <x v="0"/>
    <x v="0"/>
    <x v="21"/>
    <x v="3"/>
    <x v="11"/>
    <x v="1"/>
  </r>
  <r>
    <x v="2100"/>
    <x v="10"/>
    <x v="12"/>
    <n v="57.5"/>
    <n v="230"/>
    <x v="77"/>
    <d v="2025-03-20T00:00:00"/>
    <x v="2"/>
    <x v="1"/>
    <x v="2"/>
    <x v="0"/>
    <x v="1"/>
    <x v="3"/>
    <x v="11"/>
    <x v="2"/>
  </r>
  <r>
    <x v="2101"/>
    <x v="9"/>
    <x v="15"/>
    <n v="24.8"/>
    <n v="322.40000000000003"/>
    <x v="77"/>
    <d v="2025-03-20T00:00:00"/>
    <x v="1"/>
    <x v="0"/>
    <x v="0"/>
    <x v="0"/>
    <x v="57"/>
    <x v="3"/>
    <x v="11"/>
    <x v="1"/>
  </r>
  <r>
    <x v="2102"/>
    <x v="2"/>
    <x v="11"/>
    <n v="85.7"/>
    <n v="771.30000000000007"/>
    <x v="77"/>
    <d v="2025-03-20T00:00:00"/>
    <x v="2"/>
    <x v="0"/>
    <x v="0"/>
    <x v="0"/>
    <x v="42"/>
    <x v="3"/>
    <x v="11"/>
    <x v="2"/>
  </r>
  <r>
    <x v="2103"/>
    <x v="7"/>
    <x v="0"/>
    <n v="47.1"/>
    <n v="47.1"/>
    <x v="77"/>
    <d v="2025-03-21T00:00:00"/>
    <x v="2"/>
    <x v="0"/>
    <x v="0"/>
    <x v="0"/>
    <x v="2"/>
    <x v="1"/>
    <x v="11"/>
    <x v="2"/>
  </r>
  <r>
    <x v="2104"/>
    <x v="5"/>
    <x v="7"/>
    <n v="83.2"/>
    <n v="832"/>
    <x v="77"/>
    <d v="2025-03-23T00:00:00"/>
    <x v="2"/>
    <x v="0"/>
    <x v="0"/>
    <x v="0"/>
    <x v="33"/>
    <x v="5"/>
    <x v="11"/>
    <x v="2"/>
  </r>
  <r>
    <x v="2105"/>
    <x v="2"/>
    <x v="2"/>
    <n v="157"/>
    <n v="471"/>
    <x v="77"/>
    <d v="2025-03-21T00:00:00"/>
    <x v="2"/>
    <x v="0"/>
    <x v="2"/>
    <x v="0"/>
    <x v="22"/>
    <x v="1"/>
    <x v="11"/>
    <x v="2"/>
  </r>
  <r>
    <x v="2106"/>
    <x v="16"/>
    <x v="12"/>
    <n v="33.700000000000003"/>
    <n v="134.80000000000001"/>
    <x v="77"/>
    <d v="2025-03-20T00:00:00"/>
    <x v="1"/>
    <x v="2"/>
    <x v="2"/>
    <x v="0"/>
    <x v="22"/>
    <x v="3"/>
    <x v="11"/>
    <x v="1"/>
  </r>
  <r>
    <x v="2107"/>
    <x v="2"/>
    <x v="2"/>
    <n v="60.8"/>
    <n v="182.39999999999998"/>
    <x v="77"/>
    <d v="2025-03-23T00:00:00"/>
    <x v="2"/>
    <x v="1"/>
    <x v="1"/>
    <x v="0"/>
    <x v="3"/>
    <x v="5"/>
    <x v="11"/>
    <x v="2"/>
  </r>
  <r>
    <x v="2108"/>
    <x v="7"/>
    <x v="0"/>
    <n v="57.6"/>
    <n v="57.6"/>
    <x v="77"/>
    <d v="2025-03-20T00:00:00"/>
    <x v="1"/>
    <x v="1"/>
    <x v="4"/>
    <x v="0"/>
    <x v="3"/>
    <x v="3"/>
    <x v="11"/>
    <x v="1"/>
  </r>
  <r>
    <x v="2109"/>
    <x v="10"/>
    <x v="0"/>
    <n v="32"/>
    <n v="32"/>
    <x v="77"/>
    <d v="2025-03-21T00:00:00"/>
    <x v="1"/>
    <x v="0"/>
    <x v="0"/>
    <x v="0"/>
    <x v="3"/>
    <x v="1"/>
    <x v="11"/>
    <x v="1"/>
  </r>
  <r>
    <x v="2110"/>
    <x v="10"/>
    <x v="12"/>
    <n v="23.5"/>
    <n v="94"/>
    <x v="77"/>
    <d v="2025-03-20T00:00:00"/>
    <x v="2"/>
    <x v="0"/>
    <x v="2"/>
    <x v="0"/>
    <x v="3"/>
    <x v="3"/>
    <x v="11"/>
    <x v="2"/>
  </r>
  <r>
    <x v="2111"/>
    <x v="12"/>
    <x v="2"/>
    <n v="44.8"/>
    <n v="134.39999999999998"/>
    <x v="77"/>
    <d v="2025-03-20T00:00:00"/>
    <x v="3"/>
    <x v="4"/>
    <x v="0"/>
    <x v="0"/>
    <x v="3"/>
    <x v="3"/>
    <x v="11"/>
    <x v="3"/>
  </r>
  <r>
    <x v="2112"/>
    <x v="0"/>
    <x v="8"/>
    <n v="11.7"/>
    <n v="93.6"/>
    <x v="77"/>
    <d v="2025-03-20T00:00:00"/>
    <x v="1"/>
    <x v="2"/>
    <x v="2"/>
    <x v="0"/>
    <x v="3"/>
    <x v="3"/>
    <x v="11"/>
    <x v="1"/>
  </r>
  <r>
    <x v="2113"/>
    <x v="7"/>
    <x v="1"/>
    <n v="38.799999999999997"/>
    <n v="77.599999999999994"/>
    <x v="77"/>
    <d v="2025-03-22T00:00:00"/>
    <x v="2"/>
    <x v="2"/>
    <x v="0"/>
    <x v="0"/>
    <x v="3"/>
    <x v="2"/>
    <x v="11"/>
    <x v="2"/>
  </r>
  <r>
    <x v="2114"/>
    <x v="5"/>
    <x v="21"/>
    <n v="86.9"/>
    <n v="1216.6000000000001"/>
    <x v="77"/>
    <d v="2025-03-24T00:00:00"/>
    <x v="2"/>
    <x v="1"/>
    <x v="0"/>
    <x v="0"/>
    <x v="3"/>
    <x v="0"/>
    <x v="11"/>
    <x v="2"/>
  </r>
  <r>
    <x v="2115"/>
    <x v="8"/>
    <x v="0"/>
    <n v="18.3"/>
    <n v="18.3"/>
    <x v="77"/>
    <d v="2025-03-20T00:00:00"/>
    <x v="2"/>
    <x v="0"/>
    <x v="0"/>
    <x v="0"/>
    <x v="3"/>
    <x v="3"/>
    <x v="11"/>
    <x v="2"/>
  </r>
  <r>
    <x v="2116"/>
    <x v="5"/>
    <x v="0"/>
    <n v="47.5"/>
    <n v="47.5"/>
    <x v="77"/>
    <d v="2025-03-23T00:00:00"/>
    <x v="1"/>
    <x v="4"/>
    <x v="2"/>
    <x v="0"/>
    <x v="3"/>
    <x v="5"/>
    <x v="11"/>
    <x v="1"/>
  </r>
  <r>
    <x v="2117"/>
    <x v="1"/>
    <x v="1"/>
    <n v="78.599999999999994"/>
    <n v="157.19999999999999"/>
    <x v="77"/>
    <d v="2025-03-20T00:00:00"/>
    <x v="1"/>
    <x v="2"/>
    <x v="2"/>
    <x v="0"/>
    <x v="3"/>
    <x v="3"/>
    <x v="11"/>
    <x v="1"/>
  </r>
  <r>
    <x v="2118"/>
    <x v="6"/>
    <x v="12"/>
    <n v="87.3"/>
    <n v="349.2"/>
    <x v="77"/>
    <d v="2025-03-20T00:00:00"/>
    <x v="1"/>
    <x v="0"/>
    <x v="0"/>
    <x v="0"/>
    <x v="3"/>
    <x v="3"/>
    <x v="11"/>
    <x v="1"/>
  </r>
  <r>
    <x v="2119"/>
    <x v="9"/>
    <x v="1"/>
    <n v="63.2"/>
    <n v="126.4"/>
    <x v="77"/>
    <d v="2025-03-19T00:00:00"/>
    <x v="1"/>
    <x v="4"/>
    <x v="1"/>
    <x v="0"/>
    <x v="3"/>
    <x v="7"/>
    <x v="11"/>
    <x v="1"/>
  </r>
  <r>
    <x v="2120"/>
    <x v="5"/>
    <x v="9"/>
    <n v="33.700000000000003"/>
    <n v="168.5"/>
    <x v="77"/>
    <d v="2025-03-20T00:00:00"/>
    <x v="2"/>
    <x v="0"/>
    <x v="0"/>
    <x v="0"/>
    <x v="3"/>
    <x v="3"/>
    <x v="11"/>
    <x v="2"/>
  </r>
  <r>
    <x v="2121"/>
    <x v="2"/>
    <x v="2"/>
    <n v="107.4"/>
    <n v="322.20000000000005"/>
    <x v="77"/>
    <d v="2025-04-01T00:00:00"/>
    <x v="2"/>
    <x v="1"/>
    <x v="2"/>
    <x v="0"/>
    <x v="3"/>
    <x v="10"/>
    <x v="11"/>
    <x v="2"/>
  </r>
  <r>
    <x v="2122"/>
    <x v="4"/>
    <x v="12"/>
    <n v="22.2"/>
    <n v="88.8"/>
    <x v="77"/>
    <d v="2025-03-20T00:00:00"/>
    <x v="0"/>
    <x v="1"/>
    <x v="2"/>
    <x v="0"/>
    <x v="24"/>
    <x v="3"/>
    <x v="11"/>
    <x v="0"/>
  </r>
  <r>
    <x v="2123"/>
    <x v="18"/>
    <x v="2"/>
    <n v="52.8"/>
    <n v="158.39999999999998"/>
    <x v="77"/>
    <d v="2025-03-20T00:00:00"/>
    <x v="1"/>
    <x v="3"/>
    <x v="2"/>
    <x v="0"/>
    <x v="24"/>
    <x v="3"/>
    <x v="11"/>
    <x v="1"/>
  </r>
  <r>
    <x v="2124"/>
    <x v="8"/>
    <x v="2"/>
    <n v="41.5"/>
    <n v="124.5"/>
    <x v="77"/>
    <d v="2025-03-22T00:00:00"/>
    <x v="2"/>
    <x v="0"/>
    <x v="0"/>
    <x v="0"/>
    <x v="25"/>
    <x v="2"/>
    <x v="11"/>
    <x v="2"/>
  </r>
  <r>
    <x v="2125"/>
    <x v="12"/>
    <x v="8"/>
    <n v="103.5"/>
    <n v="828"/>
    <x v="77"/>
    <d v="2025-03-22T00:00:00"/>
    <x v="2"/>
    <x v="0"/>
    <x v="2"/>
    <x v="0"/>
    <x v="23"/>
    <x v="2"/>
    <x v="11"/>
    <x v="2"/>
  </r>
  <r>
    <x v="2126"/>
    <x v="4"/>
    <x v="21"/>
    <n v="37.5"/>
    <n v="525"/>
    <x v="77"/>
    <d v="2025-03-19T00:00:00"/>
    <x v="2"/>
    <x v="1"/>
    <x v="2"/>
    <x v="0"/>
    <x v="6"/>
    <x v="7"/>
    <x v="11"/>
    <x v="2"/>
  </r>
  <r>
    <x v="2127"/>
    <x v="15"/>
    <x v="8"/>
    <n v="44.4"/>
    <n v="355.2"/>
    <x v="77"/>
    <d v="2025-03-25T00:00:00"/>
    <x v="2"/>
    <x v="3"/>
    <x v="2"/>
    <x v="0"/>
    <x v="7"/>
    <x v="4"/>
    <x v="11"/>
    <x v="2"/>
  </r>
  <r>
    <x v="2128"/>
    <x v="8"/>
    <x v="2"/>
    <n v="26.2"/>
    <n v="78.599999999999994"/>
    <x v="77"/>
    <d v="2025-03-20T00:00:00"/>
    <x v="1"/>
    <x v="0"/>
    <x v="0"/>
    <x v="0"/>
    <x v="8"/>
    <x v="3"/>
    <x v="11"/>
    <x v="1"/>
  </r>
  <r>
    <x v="2129"/>
    <x v="1"/>
    <x v="3"/>
    <n v="32.200000000000003"/>
    <n v="225.40000000000003"/>
    <x v="77"/>
    <d v="2025-03-20T00:00:00"/>
    <x v="2"/>
    <x v="1"/>
    <x v="2"/>
    <x v="0"/>
    <x v="8"/>
    <x v="3"/>
    <x v="11"/>
    <x v="2"/>
  </r>
  <r>
    <x v="2130"/>
    <x v="8"/>
    <x v="0"/>
    <n v="17.399999999999999"/>
    <n v="17.399999999999999"/>
    <x v="77"/>
    <d v="2025-03-23T00:00:00"/>
    <x v="0"/>
    <x v="2"/>
    <x v="1"/>
    <x v="0"/>
    <x v="8"/>
    <x v="5"/>
    <x v="11"/>
    <x v="0"/>
  </r>
  <r>
    <x v="2131"/>
    <x v="8"/>
    <x v="13"/>
    <n v="72.3"/>
    <n v="433.79999999999995"/>
    <x v="77"/>
    <d v="2025-03-22T00:00:00"/>
    <x v="2"/>
    <x v="0"/>
    <x v="0"/>
    <x v="0"/>
    <x v="8"/>
    <x v="2"/>
    <x v="11"/>
    <x v="2"/>
  </r>
  <r>
    <x v="2132"/>
    <x v="8"/>
    <x v="5"/>
    <n v="24.3"/>
    <n v="267.3"/>
    <x v="77"/>
    <d v="2025-03-20T00:00:00"/>
    <x v="1"/>
    <x v="0"/>
    <x v="0"/>
    <x v="0"/>
    <x v="8"/>
    <x v="3"/>
    <x v="11"/>
    <x v="1"/>
  </r>
  <r>
    <x v="2133"/>
    <x v="13"/>
    <x v="2"/>
    <n v="49.1"/>
    <n v="147.30000000000001"/>
    <x v="77"/>
    <d v="2025-03-25T00:00:00"/>
    <x v="1"/>
    <x v="2"/>
    <x v="4"/>
    <x v="0"/>
    <x v="8"/>
    <x v="4"/>
    <x v="11"/>
    <x v="1"/>
  </r>
  <r>
    <x v="2134"/>
    <x v="2"/>
    <x v="7"/>
    <n v="234.7"/>
    <n v="2347"/>
    <x v="77"/>
    <d v="2025-03-20T00:00:00"/>
    <x v="1"/>
    <x v="3"/>
    <x v="1"/>
    <x v="0"/>
    <x v="8"/>
    <x v="3"/>
    <x v="11"/>
    <x v="1"/>
  </r>
  <r>
    <x v="2135"/>
    <x v="3"/>
    <x v="9"/>
    <n v="76.099999999999994"/>
    <n v="380.5"/>
    <x v="77"/>
    <d v="2025-03-21T00:00:00"/>
    <x v="1"/>
    <x v="1"/>
    <x v="1"/>
    <x v="0"/>
    <x v="17"/>
    <x v="1"/>
    <x v="11"/>
    <x v="1"/>
  </r>
  <r>
    <x v="2136"/>
    <x v="1"/>
    <x v="2"/>
    <n v="93.9"/>
    <n v="281.70000000000005"/>
    <x v="77"/>
    <d v="2025-03-20T00:00:00"/>
    <x v="1"/>
    <x v="1"/>
    <x v="4"/>
    <x v="0"/>
    <x v="11"/>
    <x v="3"/>
    <x v="11"/>
    <x v="1"/>
  </r>
  <r>
    <x v="2137"/>
    <x v="2"/>
    <x v="12"/>
    <n v="187"/>
    <n v="748"/>
    <x v="78"/>
    <d v="2025-03-23T00:00:00"/>
    <x v="1"/>
    <x v="0"/>
    <x v="0"/>
    <x v="0"/>
    <x v="11"/>
    <x v="2"/>
    <x v="11"/>
    <x v="1"/>
  </r>
  <r>
    <x v="2138"/>
    <x v="8"/>
    <x v="1"/>
    <n v="18"/>
    <n v="36"/>
    <x v="78"/>
    <d v="2025-03-21T00:00:00"/>
    <x v="2"/>
    <x v="1"/>
    <x v="2"/>
    <x v="0"/>
    <x v="53"/>
    <x v="3"/>
    <x v="11"/>
    <x v="2"/>
  </r>
  <r>
    <x v="2139"/>
    <x v="4"/>
    <x v="0"/>
    <n v="24.4"/>
    <n v="24.4"/>
    <x v="78"/>
    <d v="2025-03-21T00:00:00"/>
    <x v="2"/>
    <x v="4"/>
    <x v="2"/>
    <x v="0"/>
    <x v="21"/>
    <x v="3"/>
    <x v="11"/>
    <x v="2"/>
  </r>
  <r>
    <x v="2140"/>
    <x v="10"/>
    <x v="1"/>
    <n v="38.799999999999997"/>
    <n v="77.599999999999994"/>
    <x v="78"/>
    <d v="2025-03-21T00:00:00"/>
    <x v="1"/>
    <x v="4"/>
    <x v="1"/>
    <x v="0"/>
    <x v="3"/>
    <x v="3"/>
    <x v="11"/>
    <x v="1"/>
  </r>
  <r>
    <x v="2141"/>
    <x v="3"/>
    <x v="0"/>
    <n v="59.7"/>
    <n v="59.7"/>
    <x v="78"/>
    <d v="2025-03-23T00:00:00"/>
    <x v="1"/>
    <x v="3"/>
    <x v="0"/>
    <x v="0"/>
    <x v="3"/>
    <x v="2"/>
    <x v="11"/>
    <x v="1"/>
  </r>
  <r>
    <x v="2142"/>
    <x v="7"/>
    <x v="0"/>
    <n v="31.2"/>
    <n v="31.2"/>
    <x v="78"/>
    <d v="2025-03-21T00:00:00"/>
    <x v="1"/>
    <x v="1"/>
    <x v="2"/>
    <x v="0"/>
    <x v="3"/>
    <x v="3"/>
    <x v="11"/>
    <x v="1"/>
  </r>
  <r>
    <x v="2143"/>
    <x v="0"/>
    <x v="0"/>
    <n v="16.8"/>
    <n v="16.8"/>
    <x v="78"/>
    <d v="2025-03-21T00:00:00"/>
    <x v="2"/>
    <x v="2"/>
    <x v="1"/>
    <x v="0"/>
    <x v="3"/>
    <x v="3"/>
    <x v="11"/>
    <x v="2"/>
  </r>
  <r>
    <x v="2144"/>
    <x v="8"/>
    <x v="0"/>
    <n v="46"/>
    <n v="46"/>
    <x v="78"/>
    <d v="2025-03-21T00:00:00"/>
    <x v="1"/>
    <x v="0"/>
    <x v="0"/>
    <x v="0"/>
    <x v="3"/>
    <x v="3"/>
    <x v="11"/>
    <x v="1"/>
  </r>
  <r>
    <x v="2145"/>
    <x v="9"/>
    <x v="8"/>
    <n v="42.2"/>
    <n v="337.6"/>
    <x v="78"/>
    <d v="2025-03-23T00:00:00"/>
    <x v="2"/>
    <x v="3"/>
    <x v="2"/>
    <x v="0"/>
    <x v="3"/>
    <x v="2"/>
    <x v="11"/>
    <x v="2"/>
  </r>
  <r>
    <x v="2146"/>
    <x v="1"/>
    <x v="2"/>
    <n v="71.5"/>
    <n v="214.5"/>
    <x v="78"/>
    <d v="2025-04-03T00:00:00"/>
    <x v="2"/>
    <x v="0"/>
    <x v="0"/>
    <x v="0"/>
    <x v="3"/>
    <x v="12"/>
    <x v="11"/>
    <x v="2"/>
  </r>
  <r>
    <x v="2147"/>
    <x v="1"/>
    <x v="1"/>
    <n v="76.599999999999994"/>
    <n v="153.19999999999999"/>
    <x v="78"/>
    <d v="2025-03-20T00:00:00"/>
    <x v="1"/>
    <x v="0"/>
    <x v="2"/>
    <x v="0"/>
    <x v="3"/>
    <x v="7"/>
    <x v="11"/>
    <x v="1"/>
  </r>
  <r>
    <x v="2148"/>
    <x v="12"/>
    <x v="1"/>
    <n v="87.3"/>
    <n v="174.6"/>
    <x v="78"/>
    <d v="2025-03-28T00:00:00"/>
    <x v="2"/>
    <x v="3"/>
    <x v="2"/>
    <x v="0"/>
    <x v="3"/>
    <x v="9"/>
    <x v="11"/>
    <x v="2"/>
  </r>
  <r>
    <x v="2149"/>
    <x v="1"/>
    <x v="0"/>
    <n v="63"/>
    <n v="63"/>
    <x v="78"/>
    <d v="2025-03-23T00:00:00"/>
    <x v="1"/>
    <x v="3"/>
    <x v="0"/>
    <x v="0"/>
    <x v="3"/>
    <x v="2"/>
    <x v="11"/>
    <x v="1"/>
  </r>
  <r>
    <x v="2150"/>
    <x v="8"/>
    <x v="1"/>
    <n v="41.7"/>
    <n v="83.4"/>
    <x v="78"/>
    <d v="2025-03-21T00:00:00"/>
    <x v="2"/>
    <x v="4"/>
    <x v="1"/>
    <x v="0"/>
    <x v="43"/>
    <x v="3"/>
    <x v="11"/>
    <x v="2"/>
  </r>
  <r>
    <x v="2151"/>
    <x v="6"/>
    <x v="1"/>
    <n v="76.099999999999994"/>
    <n v="152.19999999999999"/>
    <x v="78"/>
    <d v="2025-03-20T00:00:00"/>
    <x v="2"/>
    <x v="4"/>
    <x v="2"/>
    <x v="0"/>
    <x v="16"/>
    <x v="7"/>
    <x v="11"/>
    <x v="2"/>
  </r>
  <r>
    <x v="2152"/>
    <x v="13"/>
    <x v="1"/>
    <n v="28.5"/>
    <n v="57"/>
    <x v="78"/>
    <d v="2025-03-21T00:00:00"/>
    <x v="2"/>
    <x v="0"/>
    <x v="2"/>
    <x v="0"/>
    <x v="4"/>
    <x v="3"/>
    <x v="11"/>
    <x v="2"/>
  </r>
  <r>
    <x v="2153"/>
    <x v="0"/>
    <x v="12"/>
    <n v="32.1"/>
    <n v="128.4"/>
    <x v="78"/>
    <d v="2025-03-21T00:00:00"/>
    <x v="2"/>
    <x v="1"/>
    <x v="2"/>
    <x v="0"/>
    <x v="25"/>
    <x v="3"/>
    <x v="11"/>
    <x v="2"/>
  </r>
  <r>
    <x v="2154"/>
    <x v="4"/>
    <x v="2"/>
    <n v="39"/>
    <n v="117"/>
    <x v="78"/>
    <d v="2025-03-23T00:00:00"/>
    <x v="1"/>
    <x v="1"/>
    <x v="2"/>
    <x v="0"/>
    <x v="25"/>
    <x v="2"/>
    <x v="11"/>
    <x v="1"/>
  </r>
  <r>
    <x v="2155"/>
    <x v="6"/>
    <x v="0"/>
    <n v="78.5"/>
    <n v="78.5"/>
    <x v="78"/>
    <d v="2025-03-21T00:00:00"/>
    <x v="1"/>
    <x v="1"/>
    <x v="0"/>
    <x v="0"/>
    <x v="6"/>
    <x v="3"/>
    <x v="11"/>
    <x v="1"/>
  </r>
  <r>
    <x v="2156"/>
    <x v="4"/>
    <x v="9"/>
    <n v="49.7"/>
    <n v="248.5"/>
    <x v="78"/>
    <d v="2025-03-22T00:00:00"/>
    <x v="2"/>
    <x v="0"/>
    <x v="0"/>
    <x v="0"/>
    <x v="6"/>
    <x v="1"/>
    <x v="11"/>
    <x v="2"/>
  </r>
  <r>
    <x v="2157"/>
    <x v="1"/>
    <x v="12"/>
    <n v="68.400000000000006"/>
    <n v="273.60000000000002"/>
    <x v="78"/>
    <d v="2025-03-21T00:00:00"/>
    <x v="2"/>
    <x v="2"/>
    <x v="2"/>
    <x v="0"/>
    <x v="7"/>
    <x v="3"/>
    <x v="11"/>
    <x v="2"/>
  </r>
  <r>
    <x v="2158"/>
    <x v="3"/>
    <x v="1"/>
    <n v="72.900000000000006"/>
    <n v="145.80000000000001"/>
    <x v="78"/>
    <d v="2025-03-23T00:00:00"/>
    <x v="0"/>
    <x v="0"/>
    <x v="2"/>
    <x v="0"/>
    <x v="7"/>
    <x v="2"/>
    <x v="11"/>
    <x v="0"/>
  </r>
  <r>
    <x v="2159"/>
    <x v="5"/>
    <x v="15"/>
    <n v="30.3"/>
    <n v="393.90000000000003"/>
    <x v="78"/>
    <d v="2025-03-21T00:00:00"/>
    <x v="1"/>
    <x v="4"/>
    <x v="0"/>
    <x v="0"/>
    <x v="7"/>
    <x v="3"/>
    <x v="11"/>
    <x v="1"/>
  </r>
  <r>
    <x v="2160"/>
    <x v="6"/>
    <x v="5"/>
    <n v="57.9"/>
    <n v="636.9"/>
    <x v="78"/>
    <d v="2025-03-21T00:00:00"/>
    <x v="2"/>
    <x v="0"/>
    <x v="0"/>
    <x v="0"/>
    <x v="8"/>
    <x v="3"/>
    <x v="11"/>
    <x v="2"/>
  </r>
  <r>
    <x v="2161"/>
    <x v="1"/>
    <x v="0"/>
    <n v="96.7"/>
    <n v="96.7"/>
    <x v="78"/>
    <d v="2025-03-21T00:00:00"/>
    <x v="1"/>
    <x v="0"/>
    <x v="0"/>
    <x v="0"/>
    <x v="8"/>
    <x v="3"/>
    <x v="11"/>
    <x v="1"/>
  </r>
  <r>
    <x v="2162"/>
    <x v="8"/>
    <x v="4"/>
    <n v="27.6"/>
    <n v="331.20000000000005"/>
    <x v="78"/>
    <d v="2025-03-22T00:00:00"/>
    <x v="1"/>
    <x v="2"/>
    <x v="2"/>
    <x v="0"/>
    <x v="8"/>
    <x v="1"/>
    <x v="11"/>
    <x v="1"/>
  </r>
  <r>
    <x v="2163"/>
    <x v="6"/>
    <x v="12"/>
    <n v="64.7"/>
    <n v="258.8"/>
    <x v="78"/>
    <d v="2025-03-20T00:00:00"/>
    <x v="1"/>
    <x v="3"/>
    <x v="2"/>
    <x v="0"/>
    <x v="8"/>
    <x v="7"/>
    <x v="11"/>
    <x v="1"/>
  </r>
  <r>
    <x v="2164"/>
    <x v="10"/>
    <x v="13"/>
    <n v="30.5"/>
    <n v="183"/>
    <x v="78"/>
    <d v="2025-03-21T00:00:00"/>
    <x v="1"/>
    <x v="4"/>
    <x v="0"/>
    <x v="0"/>
    <x v="8"/>
    <x v="3"/>
    <x v="11"/>
    <x v="1"/>
  </r>
  <r>
    <x v="2165"/>
    <x v="6"/>
    <x v="47"/>
    <n v="106"/>
    <n v="7420"/>
    <x v="79"/>
    <d v="2025-03-23T00:00:00"/>
    <x v="1"/>
    <x v="4"/>
    <x v="2"/>
    <x v="0"/>
    <x v="8"/>
    <x v="1"/>
    <x v="11"/>
    <x v="1"/>
  </r>
  <r>
    <x v="2166"/>
    <x v="12"/>
    <x v="9"/>
    <n v="76.8"/>
    <n v="384"/>
    <x v="79"/>
    <d v="2025-03-27T00:00:00"/>
    <x v="0"/>
    <x v="1"/>
    <x v="1"/>
    <x v="0"/>
    <x v="18"/>
    <x v="4"/>
    <x v="11"/>
    <x v="0"/>
  </r>
  <r>
    <x v="2167"/>
    <x v="6"/>
    <x v="1"/>
    <n v="80.400000000000006"/>
    <n v="160.80000000000001"/>
    <x v="79"/>
    <d v="2025-03-22T00:00:00"/>
    <x v="2"/>
    <x v="2"/>
    <x v="0"/>
    <x v="0"/>
    <x v="13"/>
    <x v="3"/>
    <x v="11"/>
    <x v="2"/>
  </r>
  <r>
    <x v="2168"/>
    <x v="6"/>
    <x v="12"/>
    <n v="69.099999999999994"/>
    <n v="276.39999999999998"/>
    <x v="79"/>
    <d v="2025-03-22T00:00:00"/>
    <x v="1"/>
    <x v="1"/>
    <x v="2"/>
    <x v="0"/>
    <x v="21"/>
    <x v="3"/>
    <x v="11"/>
    <x v="1"/>
  </r>
  <r>
    <x v="2169"/>
    <x v="18"/>
    <x v="1"/>
    <n v="76.400000000000006"/>
    <n v="152.80000000000001"/>
    <x v="79"/>
    <d v="2025-03-21T00:00:00"/>
    <x v="1"/>
    <x v="3"/>
    <x v="0"/>
    <x v="0"/>
    <x v="21"/>
    <x v="7"/>
    <x v="11"/>
    <x v="1"/>
  </r>
  <r>
    <x v="2170"/>
    <x v="2"/>
    <x v="1"/>
    <n v="61.3"/>
    <n v="122.6"/>
    <x v="79"/>
    <d v="2025-03-22T00:00:00"/>
    <x v="2"/>
    <x v="1"/>
    <x v="1"/>
    <x v="0"/>
    <x v="21"/>
    <x v="3"/>
    <x v="11"/>
    <x v="2"/>
  </r>
  <r>
    <x v="2171"/>
    <x v="7"/>
    <x v="0"/>
    <n v="58"/>
    <n v="58"/>
    <x v="79"/>
    <d v="2025-03-22T00:00:00"/>
    <x v="1"/>
    <x v="3"/>
    <x v="1"/>
    <x v="0"/>
    <x v="1"/>
    <x v="3"/>
    <x v="11"/>
    <x v="1"/>
  </r>
  <r>
    <x v="2172"/>
    <x v="2"/>
    <x v="8"/>
    <n v="102.3"/>
    <n v="818.4"/>
    <x v="79"/>
    <d v="2025-03-23T00:00:00"/>
    <x v="1"/>
    <x v="2"/>
    <x v="0"/>
    <x v="0"/>
    <x v="42"/>
    <x v="1"/>
    <x v="11"/>
    <x v="1"/>
  </r>
  <r>
    <x v="2173"/>
    <x v="19"/>
    <x v="1"/>
    <n v="13.8"/>
    <n v="27.6"/>
    <x v="79"/>
    <d v="2025-03-22T00:00:00"/>
    <x v="2"/>
    <x v="4"/>
    <x v="2"/>
    <x v="0"/>
    <x v="2"/>
    <x v="3"/>
    <x v="11"/>
    <x v="2"/>
  </r>
  <r>
    <x v="2174"/>
    <x v="8"/>
    <x v="2"/>
    <n v="33.299999999999997"/>
    <n v="99.899999999999991"/>
    <x v="79"/>
    <d v="2025-03-24T00:00:00"/>
    <x v="2"/>
    <x v="2"/>
    <x v="0"/>
    <x v="0"/>
    <x v="22"/>
    <x v="2"/>
    <x v="11"/>
    <x v="2"/>
  </r>
  <r>
    <x v="2175"/>
    <x v="10"/>
    <x v="0"/>
    <n v="27.4"/>
    <n v="27.4"/>
    <x v="79"/>
    <d v="2025-03-24T00:00:00"/>
    <x v="1"/>
    <x v="0"/>
    <x v="2"/>
    <x v="0"/>
    <x v="22"/>
    <x v="2"/>
    <x v="11"/>
    <x v="1"/>
  </r>
  <r>
    <x v="2176"/>
    <x v="14"/>
    <x v="1"/>
    <n v="25.6"/>
    <n v="51.2"/>
    <x v="79"/>
    <d v="2025-03-22T00:00:00"/>
    <x v="2"/>
    <x v="1"/>
    <x v="1"/>
    <x v="0"/>
    <x v="3"/>
    <x v="3"/>
    <x v="11"/>
    <x v="2"/>
  </r>
  <r>
    <x v="2177"/>
    <x v="13"/>
    <x v="0"/>
    <n v="58.4"/>
    <n v="58.4"/>
    <x v="79"/>
    <d v="2025-03-22T00:00:00"/>
    <x v="2"/>
    <x v="2"/>
    <x v="2"/>
    <x v="0"/>
    <x v="3"/>
    <x v="3"/>
    <x v="11"/>
    <x v="2"/>
  </r>
  <r>
    <x v="2178"/>
    <x v="11"/>
    <x v="17"/>
    <n v="27"/>
    <n v="810"/>
    <x v="79"/>
    <d v="2025-03-22T00:00:00"/>
    <x v="2"/>
    <x v="4"/>
    <x v="0"/>
    <x v="0"/>
    <x v="3"/>
    <x v="3"/>
    <x v="11"/>
    <x v="2"/>
  </r>
  <r>
    <x v="2179"/>
    <x v="0"/>
    <x v="12"/>
    <n v="14.2"/>
    <n v="56.8"/>
    <x v="79"/>
    <d v="2025-03-22T00:00:00"/>
    <x v="1"/>
    <x v="0"/>
    <x v="2"/>
    <x v="0"/>
    <x v="3"/>
    <x v="3"/>
    <x v="11"/>
    <x v="1"/>
  </r>
  <r>
    <x v="2180"/>
    <x v="7"/>
    <x v="1"/>
    <n v="68"/>
    <n v="136"/>
    <x v="79"/>
    <d v="2025-03-31T00:00:00"/>
    <x v="1"/>
    <x v="2"/>
    <x v="1"/>
    <x v="0"/>
    <x v="3"/>
    <x v="14"/>
    <x v="11"/>
    <x v="1"/>
  </r>
  <r>
    <x v="2181"/>
    <x v="8"/>
    <x v="0"/>
    <n v="30.7"/>
    <n v="30.7"/>
    <x v="79"/>
    <d v="2025-03-22T00:00:00"/>
    <x v="1"/>
    <x v="0"/>
    <x v="0"/>
    <x v="0"/>
    <x v="3"/>
    <x v="3"/>
    <x v="11"/>
    <x v="1"/>
  </r>
  <r>
    <x v="2182"/>
    <x v="17"/>
    <x v="15"/>
    <n v="51.6"/>
    <n v="670.80000000000007"/>
    <x v="79"/>
    <d v="2025-03-24T00:00:00"/>
    <x v="3"/>
    <x v="1"/>
    <x v="2"/>
    <x v="0"/>
    <x v="3"/>
    <x v="2"/>
    <x v="11"/>
    <x v="3"/>
  </r>
  <r>
    <x v="2183"/>
    <x v="8"/>
    <x v="2"/>
    <n v="20.6"/>
    <n v="61.800000000000004"/>
    <x v="79"/>
    <d v="2025-03-25T00:00:00"/>
    <x v="2"/>
    <x v="4"/>
    <x v="2"/>
    <x v="0"/>
    <x v="3"/>
    <x v="5"/>
    <x v="11"/>
    <x v="2"/>
  </r>
  <r>
    <x v="2184"/>
    <x v="8"/>
    <x v="0"/>
    <n v="24.8"/>
    <n v="24.8"/>
    <x v="79"/>
    <d v="2025-03-22T00:00:00"/>
    <x v="1"/>
    <x v="4"/>
    <x v="0"/>
    <x v="0"/>
    <x v="3"/>
    <x v="3"/>
    <x v="11"/>
    <x v="1"/>
  </r>
  <r>
    <x v="2185"/>
    <x v="0"/>
    <x v="3"/>
    <n v="11.2"/>
    <n v="78.399999999999991"/>
    <x v="79"/>
    <d v="2025-03-24T00:00:00"/>
    <x v="1"/>
    <x v="1"/>
    <x v="0"/>
    <x v="0"/>
    <x v="3"/>
    <x v="2"/>
    <x v="11"/>
    <x v="1"/>
  </r>
  <r>
    <x v="2186"/>
    <x v="11"/>
    <x v="1"/>
    <n v="51.2"/>
    <n v="102.4"/>
    <x v="79"/>
    <d v="2025-03-22T00:00:00"/>
    <x v="2"/>
    <x v="1"/>
    <x v="2"/>
    <x v="0"/>
    <x v="3"/>
    <x v="3"/>
    <x v="11"/>
    <x v="2"/>
  </r>
  <r>
    <x v="2187"/>
    <x v="7"/>
    <x v="13"/>
    <n v="90.5"/>
    <n v="543"/>
    <x v="79"/>
    <d v="2025-03-22T00:00:00"/>
    <x v="2"/>
    <x v="1"/>
    <x v="4"/>
    <x v="0"/>
    <x v="3"/>
    <x v="3"/>
    <x v="11"/>
    <x v="2"/>
  </r>
  <r>
    <x v="2188"/>
    <x v="1"/>
    <x v="1"/>
    <n v="42.4"/>
    <n v="84.8"/>
    <x v="79"/>
    <d v="2025-03-22T00:00:00"/>
    <x v="1"/>
    <x v="1"/>
    <x v="2"/>
    <x v="0"/>
    <x v="4"/>
    <x v="3"/>
    <x v="11"/>
    <x v="1"/>
  </r>
  <r>
    <x v="2189"/>
    <x v="1"/>
    <x v="1"/>
    <n v="38.200000000000003"/>
    <n v="76.400000000000006"/>
    <x v="79"/>
    <d v="2025-03-22T00:00:00"/>
    <x v="1"/>
    <x v="0"/>
    <x v="0"/>
    <x v="0"/>
    <x v="5"/>
    <x v="3"/>
    <x v="11"/>
    <x v="1"/>
  </r>
  <r>
    <x v="2190"/>
    <x v="2"/>
    <x v="11"/>
    <n v="121.3"/>
    <n v="1091.7"/>
    <x v="79"/>
    <d v="2025-03-26T00:00:00"/>
    <x v="1"/>
    <x v="0"/>
    <x v="0"/>
    <x v="0"/>
    <x v="6"/>
    <x v="0"/>
    <x v="11"/>
    <x v="1"/>
  </r>
  <r>
    <x v="2191"/>
    <x v="6"/>
    <x v="1"/>
    <n v="46.9"/>
    <n v="93.8"/>
    <x v="79"/>
    <d v="2025-03-28T00:00:00"/>
    <x v="1"/>
    <x v="0"/>
    <x v="0"/>
    <x v="0"/>
    <x v="8"/>
    <x v="6"/>
    <x v="11"/>
    <x v="1"/>
  </r>
  <r>
    <x v="2192"/>
    <x v="10"/>
    <x v="0"/>
    <n v="55.3"/>
    <n v="55.3"/>
    <x v="79"/>
    <d v="2025-03-23T00:00:00"/>
    <x v="1"/>
    <x v="0"/>
    <x v="0"/>
    <x v="0"/>
    <x v="8"/>
    <x v="1"/>
    <x v="11"/>
    <x v="1"/>
  </r>
  <r>
    <x v="2193"/>
    <x v="2"/>
    <x v="2"/>
    <n v="70.599999999999994"/>
    <n v="211.79999999999998"/>
    <x v="80"/>
    <d v="2025-03-22T00:00:00"/>
    <x v="2"/>
    <x v="0"/>
    <x v="1"/>
    <x v="0"/>
    <x v="8"/>
    <x v="7"/>
    <x v="11"/>
    <x v="2"/>
  </r>
  <r>
    <x v="2194"/>
    <x v="14"/>
    <x v="12"/>
    <n v="26.1"/>
    <n v="104.4"/>
    <x v="80"/>
    <d v="2025-03-24T00:00:00"/>
    <x v="1"/>
    <x v="0"/>
    <x v="0"/>
    <x v="0"/>
    <x v="8"/>
    <x v="1"/>
    <x v="11"/>
    <x v="1"/>
  </r>
  <r>
    <x v="2195"/>
    <x v="9"/>
    <x v="5"/>
    <n v="34.5"/>
    <n v="379.5"/>
    <x v="80"/>
    <d v="2025-03-26T00:00:00"/>
    <x v="1"/>
    <x v="2"/>
    <x v="0"/>
    <x v="0"/>
    <x v="17"/>
    <x v="5"/>
    <x v="11"/>
    <x v="1"/>
  </r>
  <r>
    <x v="2196"/>
    <x v="1"/>
    <x v="1"/>
    <n v="64.2"/>
    <n v="128.4"/>
    <x v="80"/>
    <d v="2025-03-23T00:00:00"/>
    <x v="2"/>
    <x v="0"/>
    <x v="1"/>
    <x v="0"/>
    <x v="17"/>
    <x v="3"/>
    <x v="11"/>
    <x v="2"/>
  </r>
  <r>
    <x v="2197"/>
    <x v="2"/>
    <x v="12"/>
    <n v="145.69999999999999"/>
    <n v="582.79999999999995"/>
    <x v="80"/>
    <d v="2025-03-23T00:00:00"/>
    <x v="2"/>
    <x v="0"/>
    <x v="4"/>
    <x v="0"/>
    <x v="17"/>
    <x v="3"/>
    <x v="11"/>
    <x v="2"/>
  </r>
  <r>
    <x v="2198"/>
    <x v="12"/>
    <x v="1"/>
    <n v="78.5"/>
    <n v="157"/>
    <x v="80"/>
    <d v="2025-03-23T00:00:00"/>
    <x v="1"/>
    <x v="2"/>
    <x v="0"/>
    <x v="0"/>
    <x v="26"/>
    <x v="3"/>
    <x v="11"/>
    <x v="1"/>
  </r>
  <r>
    <x v="2199"/>
    <x v="1"/>
    <x v="0"/>
    <n v="34.200000000000003"/>
    <n v="34.200000000000003"/>
    <x v="80"/>
    <d v="2025-03-24T00:00:00"/>
    <x v="1"/>
    <x v="0"/>
    <x v="0"/>
    <x v="0"/>
    <x v="9"/>
    <x v="1"/>
    <x v="11"/>
    <x v="1"/>
  </r>
  <r>
    <x v="2200"/>
    <x v="19"/>
    <x v="0"/>
    <n v="26.2"/>
    <n v="26.2"/>
    <x v="80"/>
    <d v="2025-03-23T00:00:00"/>
    <x v="1"/>
    <x v="2"/>
    <x v="0"/>
    <x v="0"/>
    <x v="9"/>
    <x v="3"/>
    <x v="11"/>
    <x v="1"/>
  </r>
  <r>
    <x v="2201"/>
    <x v="6"/>
    <x v="12"/>
    <n v="53.2"/>
    <n v="212.8"/>
    <x v="80"/>
    <d v="2025-03-23T00:00:00"/>
    <x v="1"/>
    <x v="1"/>
    <x v="1"/>
    <x v="0"/>
    <x v="11"/>
    <x v="3"/>
    <x v="11"/>
    <x v="1"/>
  </r>
  <r>
    <x v="2202"/>
    <x v="1"/>
    <x v="0"/>
    <n v="35.4"/>
    <n v="35.4"/>
    <x v="80"/>
    <d v="2025-03-26T00:00:00"/>
    <x v="1"/>
    <x v="1"/>
    <x v="4"/>
    <x v="0"/>
    <x v="18"/>
    <x v="5"/>
    <x v="11"/>
    <x v="1"/>
  </r>
  <r>
    <x v="2203"/>
    <x v="14"/>
    <x v="1"/>
    <n v="21.3"/>
    <n v="42.6"/>
    <x v="80"/>
    <d v="2025-03-23T00:00:00"/>
    <x v="1"/>
    <x v="2"/>
    <x v="0"/>
    <x v="0"/>
    <x v="20"/>
    <x v="3"/>
    <x v="11"/>
    <x v="1"/>
  </r>
  <r>
    <x v="2204"/>
    <x v="8"/>
    <x v="12"/>
    <n v="32.9"/>
    <n v="131.6"/>
    <x v="80"/>
    <d v="2025-03-25T00:00:00"/>
    <x v="2"/>
    <x v="4"/>
    <x v="2"/>
    <x v="0"/>
    <x v="21"/>
    <x v="2"/>
    <x v="11"/>
    <x v="2"/>
  </r>
  <r>
    <x v="2205"/>
    <x v="5"/>
    <x v="20"/>
    <n v="85.5"/>
    <n v="1282.5"/>
    <x v="80"/>
    <d v="2025-03-24T00:00:00"/>
    <x v="2"/>
    <x v="3"/>
    <x v="1"/>
    <x v="0"/>
    <x v="21"/>
    <x v="1"/>
    <x v="11"/>
    <x v="2"/>
  </r>
  <r>
    <x v="2206"/>
    <x v="4"/>
    <x v="0"/>
    <n v="26.8"/>
    <n v="26.8"/>
    <x v="80"/>
    <d v="2025-03-23T00:00:00"/>
    <x v="2"/>
    <x v="0"/>
    <x v="1"/>
    <x v="0"/>
    <x v="2"/>
    <x v="3"/>
    <x v="11"/>
    <x v="2"/>
  </r>
  <r>
    <x v="2207"/>
    <x v="9"/>
    <x v="18"/>
    <n v="31.7"/>
    <n v="824.19999999999993"/>
    <x v="80"/>
    <d v="2025-03-22T00:00:00"/>
    <x v="2"/>
    <x v="3"/>
    <x v="0"/>
    <x v="0"/>
    <x v="2"/>
    <x v="7"/>
    <x v="11"/>
    <x v="2"/>
  </r>
  <r>
    <x v="2208"/>
    <x v="1"/>
    <x v="1"/>
    <n v="78.3"/>
    <n v="156.6"/>
    <x v="80"/>
    <d v="2025-03-24T00:00:00"/>
    <x v="2"/>
    <x v="1"/>
    <x v="1"/>
    <x v="0"/>
    <x v="3"/>
    <x v="1"/>
    <x v="11"/>
    <x v="2"/>
  </r>
  <r>
    <x v="2209"/>
    <x v="6"/>
    <x v="0"/>
    <n v="43.9"/>
    <n v="43.9"/>
    <x v="80"/>
    <d v="2025-03-23T00:00:00"/>
    <x v="1"/>
    <x v="0"/>
    <x v="0"/>
    <x v="0"/>
    <x v="3"/>
    <x v="3"/>
    <x v="11"/>
    <x v="1"/>
  </r>
  <r>
    <x v="2210"/>
    <x v="18"/>
    <x v="2"/>
    <n v="84"/>
    <n v="252"/>
    <x v="80"/>
    <d v="2025-03-24T00:00:00"/>
    <x v="0"/>
    <x v="3"/>
    <x v="2"/>
    <x v="0"/>
    <x v="3"/>
    <x v="1"/>
    <x v="11"/>
    <x v="0"/>
  </r>
  <r>
    <x v="2211"/>
    <x v="0"/>
    <x v="2"/>
    <n v="11.4"/>
    <n v="34.200000000000003"/>
    <x v="80"/>
    <d v="2025-03-23T00:00:00"/>
    <x v="1"/>
    <x v="4"/>
    <x v="0"/>
    <x v="0"/>
    <x v="3"/>
    <x v="3"/>
    <x v="11"/>
    <x v="1"/>
  </r>
  <r>
    <x v="2212"/>
    <x v="12"/>
    <x v="8"/>
    <n v="47.5"/>
    <n v="380"/>
    <x v="80"/>
    <d v="2025-03-30T00:00:00"/>
    <x v="2"/>
    <x v="0"/>
    <x v="0"/>
    <x v="0"/>
    <x v="3"/>
    <x v="9"/>
    <x v="11"/>
    <x v="2"/>
  </r>
  <r>
    <x v="2213"/>
    <x v="9"/>
    <x v="5"/>
    <n v="50.5"/>
    <n v="555.5"/>
    <x v="80"/>
    <d v="2025-03-24T00:00:00"/>
    <x v="1"/>
    <x v="2"/>
    <x v="0"/>
    <x v="0"/>
    <x v="3"/>
    <x v="1"/>
    <x v="11"/>
    <x v="1"/>
  </r>
  <r>
    <x v="2214"/>
    <x v="15"/>
    <x v="0"/>
    <n v="36.299999999999997"/>
    <n v="36.299999999999997"/>
    <x v="80"/>
    <d v="2025-03-25T00:00:00"/>
    <x v="3"/>
    <x v="0"/>
    <x v="1"/>
    <x v="0"/>
    <x v="8"/>
    <x v="2"/>
    <x v="11"/>
    <x v="3"/>
  </r>
  <r>
    <x v="2215"/>
    <x v="8"/>
    <x v="1"/>
    <n v="35.4"/>
    <n v="70.8"/>
    <x v="80"/>
    <d v="2025-03-23T00:00:00"/>
    <x v="2"/>
    <x v="0"/>
    <x v="0"/>
    <x v="0"/>
    <x v="17"/>
    <x v="3"/>
    <x v="11"/>
    <x v="2"/>
  </r>
  <r>
    <x v="2216"/>
    <x v="1"/>
    <x v="2"/>
    <n v="45.9"/>
    <n v="137.69999999999999"/>
    <x v="81"/>
    <d v="2025-03-24T00:00:00"/>
    <x v="1"/>
    <x v="3"/>
    <x v="0"/>
    <x v="0"/>
    <x v="9"/>
    <x v="3"/>
    <x v="12"/>
    <x v="1"/>
  </r>
  <r>
    <x v="2217"/>
    <x v="6"/>
    <x v="7"/>
    <n v="41.2"/>
    <n v="412"/>
    <x v="81"/>
    <d v="2025-03-27T00:00:00"/>
    <x v="1"/>
    <x v="0"/>
    <x v="0"/>
    <x v="0"/>
    <x v="11"/>
    <x v="5"/>
    <x v="12"/>
    <x v="1"/>
  </r>
  <r>
    <x v="2218"/>
    <x v="17"/>
    <x v="1"/>
    <n v="45.1"/>
    <n v="90.2"/>
    <x v="81"/>
    <d v="2025-03-24T00:00:00"/>
    <x v="1"/>
    <x v="1"/>
    <x v="1"/>
    <x v="0"/>
    <x v="21"/>
    <x v="3"/>
    <x v="12"/>
    <x v="1"/>
  </r>
  <r>
    <x v="2219"/>
    <x v="6"/>
    <x v="7"/>
    <n v="63.6"/>
    <n v="636"/>
    <x v="81"/>
    <d v="2025-03-23T00:00:00"/>
    <x v="1"/>
    <x v="2"/>
    <x v="0"/>
    <x v="0"/>
    <x v="1"/>
    <x v="7"/>
    <x v="12"/>
    <x v="1"/>
  </r>
  <r>
    <x v="2220"/>
    <x v="8"/>
    <x v="0"/>
    <n v="70.5"/>
    <n v="70.5"/>
    <x v="81"/>
    <d v="2025-03-24T00:00:00"/>
    <x v="1"/>
    <x v="0"/>
    <x v="0"/>
    <x v="0"/>
    <x v="3"/>
    <x v="3"/>
    <x v="12"/>
    <x v="1"/>
  </r>
  <r>
    <x v="2221"/>
    <x v="6"/>
    <x v="0"/>
    <n v="41.3"/>
    <n v="41.3"/>
    <x v="81"/>
    <d v="2025-03-23T00:00:00"/>
    <x v="1"/>
    <x v="4"/>
    <x v="0"/>
    <x v="0"/>
    <x v="3"/>
    <x v="7"/>
    <x v="12"/>
    <x v="1"/>
  </r>
  <r>
    <x v="2222"/>
    <x v="4"/>
    <x v="0"/>
    <n v="35.299999999999997"/>
    <n v="35.299999999999997"/>
    <x v="81"/>
    <d v="2025-03-26T00:00:00"/>
    <x v="2"/>
    <x v="4"/>
    <x v="2"/>
    <x v="0"/>
    <x v="3"/>
    <x v="2"/>
    <x v="12"/>
    <x v="2"/>
  </r>
  <r>
    <x v="2223"/>
    <x v="8"/>
    <x v="9"/>
    <n v="34.700000000000003"/>
    <n v="173.5"/>
    <x v="81"/>
    <d v="2025-03-24T00:00:00"/>
    <x v="2"/>
    <x v="0"/>
    <x v="2"/>
    <x v="0"/>
    <x v="3"/>
    <x v="3"/>
    <x v="12"/>
    <x v="2"/>
  </r>
  <r>
    <x v="2224"/>
    <x v="8"/>
    <x v="2"/>
    <n v="26.1"/>
    <n v="78.300000000000011"/>
    <x v="81"/>
    <d v="2025-03-24T00:00:00"/>
    <x v="2"/>
    <x v="0"/>
    <x v="0"/>
    <x v="0"/>
    <x v="3"/>
    <x v="3"/>
    <x v="12"/>
    <x v="2"/>
  </r>
  <r>
    <x v="2225"/>
    <x v="9"/>
    <x v="9"/>
    <n v="22.6"/>
    <n v="113"/>
    <x v="81"/>
    <d v="2025-03-23T00:00:00"/>
    <x v="2"/>
    <x v="1"/>
    <x v="2"/>
    <x v="0"/>
    <x v="3"/>
    <x v="7"/>
    <x v="12"/>
    <x v="2"/>
  </r>
  <r>
    <x v="2226"/>
    <x v="2"/>
    <x v="1"/>
    <n v="154.4"/>
    <n v="308.8"/>
    <x v="81"/>
    <d v="2025-03-26T00:00:00"/>
    <x v="1"/>
    <x v="1"/>
    <x v="1"/>
    <x v="0"/>
    <x v="3"/>
    <x v="2"/>
    <x v="12"/>
    <x v="1"/>
  </r>
  <r>
    <x v="2227"/>
    <x v="8"/>
    <x v="1"/>
    <n v="18.399999999999999"/>
    <n v="36.799999999999997"/>
    <x v="81"/>
    <d v="2025-03-24T00:00:00"/>
    <x v="1"/>
    <x v="0"/>
    <x v="0"/>
    <x v="0"/>
    <x v="3"/>
    <x v="3"/>
    <x v="12"/>
    <x v="1"/>
  </r>
  <r>
    <x v="2228"/>
    <x v="14"/>
    <x v="0"/>
    <n v="25"/>
    <n v="25"/>
    <x v="81"/>
    <d v="2025-03-26T00:00:00"/>
    <x v="2"/>
    <x v="0"/>
    <x v="0"/>
    <x v="0"/>
    <x v="3"/>
    <x v="2"/>
    <x v="12"/>
    <x v="2"/>
  </r>
  <r>
    <x v="2229"/>
    <x v="2"/>
    <x v="13"/>
    <n v="105.6"/>
    <n v="633.59999999999991"/>
    <x v="81"/>
    <d v="2025-03-23T00:00:00"/>
    <x v="2"/>
    <x v="0"/>
    <x v="0"/>
    <x v="0"/>
    <x v="3"/>
    <x v="7"/>
    <x v="12"/>
    <x v="2"/>
  </r>
  <r>
    <x v="2230"/>
    <x v="18"/>
    <x v="8"/>
    <n v="59.6"/>
    <n v="476.8"/>
    <x v="81"/>
    <d v="2025-03-23T00:00:00"/>
    <x v="2"/>
    <x v="0"/>
    <x v="2"/>
    <x v="0"/>
    <x v="23"/>
    <x v="7"/>
    <x v="12"/>
    <x v="2"/>
  </r>
  <r>
    <x v="2231"/>
    <x v="15"/>
    <x v="2"/>
    <n v="75.400000000000006"/>
    <n v="226.20000000000002"/>
    <x v="81"/>
    <d v="2025-03-28T00:00:00"/>
    <x v="1"/>
    <x v="0"/>
    <x v="1"/>
    <x v="0"/>
    <x v="7"/>
    <x v="0"/>
    <x v="12"/>
    <x v="1"/>
  </r>
  <r>
    <x v="2232"/>
    <x v="7"/>
    <x v="0"/>
    <n v="104.4"/>
    <n v="104.4"/>
    <x v="81"/>
    <d v="2025-03-24T00:00:00"/>
    <x v="2"/>
    <x v="0"/>
    <x v="0"/>
    <x v="0"/>
    <x v="8"/>
    <x v="3"/>
    <x v="12"/>
    <x v="2"/>
  </r>
  <r>
    <x v="2233"/>
    <x v="2"/>
    <x v="7"/>
    <n v="208.2"/>
    <n v="2082"/>
    <x v="81"/>
    <d v="2025-03-24T00:00:00"/>
    <x v="1"/>
    <x v="0"/>
    <x v="2"/>
    <x v="0"/>
    <x v="8"/>
    <x v="3"/>
    <x v="12"/>
    <x v="1"/>
  </r>
  <r>
    <x v="2234"/>
    <x v="6"/>
    <x v="1"/>
    <n v="45"/>
    <n v="90"/>
    <x v="81"/>
    <d v="2025-03-26T00:00:00"/>
    <x v="2"/>
    <x v="0"/>
    <x v="0"/>
    <x v="0"/>
    <x v="10"/>
    <x v="2"/>
    <x v="12"/>
    <x v="2"/>
  </r>
  <r>
    <x v="2235"/>
    <x v="15"/>
    <x v="1"/>
    <n v="20.3"/>
    <n v="40.6"/>
    <x v="82"/>
    <d v="2025-03-26T00:00:00"/>
    <x v="0"/>
    <x v="1"/>
    <x v="0"/>
    <x v="0"/>
    <x v="11"/>
    <x v="1"/>
    <x v="12"/>
    <x v="0"/>
  </r>
  <r>
    <x v="2236"/>
    <x v="2"/>
    <x v="2"/>
    <n v="94.4"/>
    <n v="283.20000000000005"/>
    <x v="82"/>
    <d v="2025-03-25T00:00:00"/>
    <x v="2"/>
    <x v="0"/>
    <x v="2"/>
    <x v="0"/>
    <x v="11"/>
    <x v="3"/>
    <x v="12"/>
    <x v="2"/>
  </r>
  <r>
    <x v="2237"/>
    <x v="9"/>
    <x v="0"/>
    <n v="49"/>
    <n v="49"/>
    <x v="82"/>
    <d v="2025-03-26T00:00:00"/>
    <x v="2"/>
    <x v="0"/>
    <x v="2"/>
    <x v="0"/>
    <x v="20"/>
    <x v="1"/>
    <x v="12"/>
    <x v="2"/>
  </r>
  <r>
    <x v="2238"/>
    <x v="4"/>
    <x v="1"/>
    <n v="27.2"/>
    <n v="54.4"/>
    <x v="82"/>
    <d v="2025-03-26T00:00:00"/>
    <x v="1"/>
    <x v="0"/>
    <x v="2"/>
    <x v="0"/>
    <x v="1"/>
    <x v="1"/>
    <x v="12"/>
    <x v="1"/>
  </r>
  <r>
    <x v="2239"/>
    <x v="2"/>
    <x v="13"/>
    <n v="72.599999999999994"/>
    <n v="435.59999999999997"/>
    <x v="82"/>
    <d v="2025-03-25T00:00:00"/>
    <x v="2"/>
    <x v="0"/>
    <x v="2"/>
    <x v="0"/>
    <x v="2"/>
    <x v="3"/>
    <x v="12"/>
    <x v="2"/>
  </r>
  <r>
    <x v="2240"/>
    <x v="15"/>
    <x v="12"/>
    <n v="62.4"/>
    <n v="249.6"/>
    <x v="82"/>
    <d v="2025-03-25T00:00:00"/>
    <x v="2"/>
    <x v="0"/>
    <x v="0"/>
    <x v="0"/>
    <x v="3"/>
    <x v="3"/>
    <x v="12"/>
    <x v="2"/>
  </r>
  <r>
    <x v="2241"/>
    <x v="8"/>
    <x v="2"/>
    <n v="19.100000000000001"/>
    <n v="57.300000000000004"/>
    <x v="82"/>
    <d v="2025-03-26T00:00:00"/>
    <x v="1"/>
    <x v="0"/>
    <x v="1"/>
    <x v="0"/>
    <x v="3"/>
    <x v="1"/>
    <x v="12"/>
    <x v="1"/>
  </r>
  <r>
    <x v="2242"/>
    <x v="10"/>
    <x v="0"/>
    <n v="29.6"/>
    <n v="29.6"/>
    <x v="82"/>
    <d v="2025-03-28T00:00:00"/>
    <x v="1"/>
    <x v="0"/>
    <x v="4"/>
    <x v="0"/>
    <x v="3"/>
    <x v="5"/>
    <x v="12"/>
    <x v="1"/>
  </r>
  <r>
    <x v="2243"/>
    <x v="8"/>
    <x v="1"/>
    <n v="18.899999999999999"/>
    <n v="37.799999999999997"/>
    <x v="82"/>
    <d v="2025-03-26T00:00:00"/>
    <x v="2"/>
    <x v="4"/>
    <x v="2"/>
    <x v="0"/>
    <x v="3"/>
    <x v="1"/>
    <x v="12"/>
    <x v="2"/>
  </r>
  <r>
    <x v="2244"/>
    <x v="10"/>
    <x v="9"/>
    <n v="41.4"/>
    <n v="207"/>
    <x v="82"/>
    <d v="2025-03-25T00:00:00"/>
    <x v="1"/>
    <x v="3"/>
    <x v="0"/>
    <x v="0"/>
    <x v="3"/>
    <x v="3"/>
    <x v="12"/>
    <x v="1"/>
  </r>
  <r>
    <x v="2245"/>
    <x v="2"/>
    <x v="0"/>
    <n v="118.4"/>
    <n v="118.4"/>
    <x v="82"/>
    <d v="2025-03-25T00:00:00"/>
    <x v="2"/>
    <x v="0"/>
    <x v="2"/>
    <x v="0"/>
    <x v="3"/>
    <x v="3"/>
    <x v="12"/>
    <x v="2"/>
  </r>
  <r>
    <x v="2246"/>
    <x v="2"/>
    <x v="1"/>
    <n v="125.3"/>
    <n v="250.6"/>
    <x v="82"/>
    <d v="2025-03-27T00:00:00"/>
    <x v="2"/>
    <x v="0"/>
    <x v="2"/>
    <x v="0"/>
    <x v="3"/>
    <x v="2"/>
    <x v="12"/>
    <x v="2"/>
  </r>
  <r>
    <x v="2247"/>
    <x v="3"/>
    <x v="1"/>
    <n v="85.8"/>
    <n v="171.6"/>
    <x v="82"/>
    <d v="2025-03-25T00:00:00"/>
    <x v="2"/>
    <x v="1"/>
    <x v="4"/>
    <x v="0"/>
    <x v="3"/>
    <x v="3"/>
    <x v="12"/>
    <x v="2"/>
  </r>
  <r>
    <x v="2248"/>
    <x v="6"/>
    <x v="0"/>
    <n v="44.2"/>
    <n v="44.2"/>
    <x v="82"/>
    <d v="2025-03-27T00:00:00"/>
    <x v="1"/>
    <x v="1"/>
    <x v="0"/>
    <x v="0"/>
    <x v="3"/>
    <x v="2"/>
    <x v="12"/>
    <x v="1"/>
  </r>
  <r>
    <x v="2249"/>
    <x v="5"/>
    <x v="12"/>
    <n v="74.099999999999994"/>
    <n v="296.39999999999998"/>
    <x v="82"/>
    <d v="2025-03-26T00:00:00"/>
    <x v="2"/>
    <x v="0"/>
    <x v="0"/>
    <x v="0"/>
    <x v="3"/>
    <x v="1"/>
    <x v="12"/>
    <x v="2"/>
  </r>
  <r>
    <x v="2250"/>
    <x v="8"/>
    <x v="0"/>
    <n v="33.799999999999997"/>
    <n v="33.799999999999997"/>
    <x v="82"/>
    <d v="2025-03-25T00:00:00"/>
    <x v="2"/>
    <x v="2"/>
    <x v="2"/>
    <x v="0"/>
    <x v="24"/>
    <x v="3"/>
    <x v="12"/>
    <x v="2"/>
  </r>
  <r>
    <x v="2251"/>
    <x v="1"/>
    <x v="1"/>
    <n v="39.1"/>
    <n v="78.2"/>
    <x v="82"/>
    <d v="2025-03-25T00:00:00"/>
    <x v="1"/>
    <x v="0"/>
    <x v="1"/>
    <x v="0"/>
    <x v="24"/>
    <x v="3"/>
    <x v="12"/>
    <x v="1"/>
  </r>
  <r>
    <x v="2252"/>
    <x v="0"/>
    <x v="0"/>
    <n v="37.200000000000003"/>
    <n v="37.200000000000003"/>
    <x v="82"/>
    <d v="2025-03-25T00:00:00"/>
    <x v="1"/>
    <x v="0"/>
    <x v="1"/>
    <x v="0"/>
    <x v="16"/>
    <x v="3"/>
    <x v="12"/>
    <x v="1"/>
  </r>
  <r>
    <x v="2253"/>
    <x v="15"/>
    <x v="2"/>
    <n v="33.9"/>
    <n v="101.69999999999999"/>
    <x v="82"/>
    <d v="2025-03-26T00:00:00"/>
    <x v="1"/>
    <x v="2"/>
    <x v="0"/>
    <x v="0"/>
    <x v="6"/>
    <x v="1"/>
    <x v="12"/>
    <x v="1"/>
  </r>
  <r>
    <x v="2254"/>
    <x v="7"/>
    <x v="20"/>
    <n v="73.3"/>
    <n v="1099.5"/>
    <x v="82"/>
    <d v="2025-03-27T00:00:00"/>
    <x v="2"/>
    <x v="2"/>
    <x v="1"/>
    <x v="0"/>
    <x v="8"/>
    <x v="2"/>
    <x v="12"/>
    <x v="2"/>
  </r>
  <r>
    <x v="2255"/>
    <x v="8"/>
    <x v="12"/>
    <n v="35"/>
    <n v="140"/>
    <x v="82"/>
    <d v="2025-03-26T00:00:00"/>
    <x v="2"/>
    <x v="1"/>
    <x v="0"/>
    <x v="0"/>
    <x v="8"/>
    <x v="1"/>
    <x v="12"/>
    <x v="2"/>
  </r>
  <r>
    <x v="2256"/>
    <x v="0"/>
    <x v="2"/>
    <n v="22.2"/>
    <n v="66.599999999999994"/>
    <x v="82"/>
    <d v="2025-03-25T00:00:00"/>
    <x v="1"/>
    <x v="1"/>
    <x v="0"/>
    <x v="0"/>
    <x v="17"/>
    <x v="3"/>
    <x v="12"/>
    <x v="1"/>
  </r>
  <r>
    <x v="2257"/>
    <x v="10"/>
    <x v="0"/>
    <n v="32.4"/>
    <n v="32.4"/>
    <x v="82"/>
    <d v="2025-03-25T00:00:00"/>
    <x v="2"/>
    <x v="0"/>
    <x v="0"/>
    <x v="0"/>
    <x v="11"/>
    <x v="3"/>
    <x v="12"/>
    <x v="2"/>
  </r>
  <r>
    <x v="2258"/>
    <x v="5"/>
    <x v="2"/>
    <n v="88.4"/>
    <n v="265.20000000000005"/>
    <x v="83"/>
    <d v="2025-03-27T00:00:00"/>
    <x v="2"/>
    <x v="1"/>
    <x v="1"/>
    <x v="0"/>
    <x v="11"/>
    <x v="1"/>
    <x v="12"/>
    <x v="2"/>
  </r>
  <r>
    <x v="2259"/>
    <x v="5"/>
    <x v="27"/>
    <n v="30.5"/>
    <n v="488"/>
    <x v="83"/>
    <d v="2025-03-26T00:00:00"/>
    <x v="2"/>
    <x v="2"/>
    <x v="0"/>
    <x v="0"/>
    <x v="11"/>
    <x v="3"/>
    <x v="12"/>
    <x v="2"/>
  </r>
  <r>
    <x v="2260"/>
    <x v="1"/>
    <x v="13"/>
    <n v="38.1"/>
    <n v="228.60000000000002"/>
    <x v="83"/>
    <d v="2025-03-27T00:00:00"/>
    <x v="2"/>
    <x v="0"/>
    <x v="1"/>
    <x v="0"/>
    <x v="11"/>
    <x v="1"/>
    <x v="12"/>
    <x v="2"/>
  </r>
  <r>
    <x v="2261"/>
    <x v="10"/>
    <x v="9"/>
    <n v="37.6"/>
    <n v="188"/>
    <x v="83"/>
    <d v="2025-03-29T00:00:00"/>
    <x v="1"/>
    <x v="0"/>
    <x v="0"/>
    <x v="0"/>
    <x v="11"/>
    <x v="5"/>
    <x v="12"/>
    <x v="1"/>
  </r>
  <r>
    <x v="2262"/>
    <x v="15"/>
    <x v="1"/>
    <n v="31.4"/>
    <n v="62.8"/>
    <x v="83"/>
    <d v="2025-03-26T00:00:00"/>
    <x v="1"/>
    <x v="0"/>
    <x v="2"/>
    <x v="0"/>
    <x v="11"/>
    <x v="3"/>
    <x v="12"/>
    <x v="1"/>
  </r>
  <r>
    <x v="2263"/>
    <x v="6"/>
    <x v="1"/>
    <n v="61.5"/>
    <n v="123"/>
    <x v="83"/>
    <d v="2025-03-26T00:00:00"/>
    <x v="1"/>
    <x v="3"/>
    <x v="0"/>
    <x v="0"/>
    <x v="31"/>
    <x v="3"/>
    <x v="12"/>
    <x v="1"/>
  </r>
  <r>
    <x v="2264"/>
    <x v="6"/>
    <x v="0"/>
    <n v="72.599999999999994"/>
    <n v="72.599999999999994"/>
    <x v="83"/>
    <d v="2025-03-26T00:00:00"/>
    <x v="1"/>
    <x v="0"/>
    <x v="1"/>
    <x v="0"/>
    <x v="21"/>
    <x v="3"/>
    <x v="12"/>
    <x v="1"/>
  </r>
  <r>
    <x v="2265"/>
    <x v="9"/>
    <x v="2"/>
    <n v="26.9"/>
    <n v="80.699999999999989"/>
    <x v="83"/>
    <d v="2025-03-30T00:00:00"/>
    <x v="3"/>
    <x v="4"/>
    <x v="1"/>
    <x v="0"/>
    <x v="46"/>
    <x v="0"/>
    <x v="12"/>
    <x v="3"/>
  </r>
  <r>
    <x v="2266"/>
    <x v="17"/>
    <x v="4"/>
    <n v="29.4"/>
    <n v="352.79999999999995"/>
    <x v="83"/>
    <d v="2025-03-26T00:00:00"/>
    <x v="2"/>
    <x v="1"/>
    <x v="0"/>
    <x v="0"/>
    <x v="51"/>
    <x v="3"/>
    <x v="12"/>
    <x v="2"/>
  </r>
  <r>
    <x v="2267"/>
    <x v="17"/>
    <x v="1"/>
    <n v="42.1"/>
    <n v="84.2"/>
    <x v="83"/>
    <d v="2025-03-26T00:00:00"/>
    <x v="2"/>
    <x v="3"/>
    <x v="1"/>
    <x v="0"/>
    <x v="1"/>
    <x v="3"/>
    <x v="12"/>
    <x v="2"/>
  </r>
  <r>
    <x v="2268"/>
    <x v="5"/>
    <x v="0"/>
    <n v="40.5"/>
    <n v="40.5"/>
    <x v="83"/>
    <d v="2025-03-26T00:00:00"/>
    <x v="2"/>
    <x v="2"/>
    <x v="1"/>
    <x v="0"/>
    <x v="1"/>
    <x v="3"/>
    <x v="12"/>
    <x v="2"/>
  </r>
  <r>
    <x v="2269"/>
    <x v="2"/>
    <x v="12"/>
    <n v="182.3"/>
    <n v="729.2"/>
    <x v="83"/>
    <d v="2025-03-26T00:00:00"/>
    <x v="2"/>
    <x v="1"/>
    <x v="0"/>
    <x v="0"/>
    <x v="1"/>
    <x v="3"/>
    <x v="12"/>
    <x v="2"/>
  </r>
  <r>
    <x v="2270"/>
    <x v="2"/>
    <x v="9"/>
    <n v="157"/>
    <n v="785"/>
    <x v="83"/>
    <d v="2025-03-28T00:00:00"/>
    <x v="2"/>
    <x v="1"/>
    <x v="2"/>
    <x v="0"/>
    <x v="2"/>
    <x v="2"/>
    <x v="12"/>
    <x v="2"/>
  </r>
  <r>
    <x v="2271"/>
    <x v="17"/>
    <x v="9"/>
    <n v="45.2"/>
    <n v="226"/>
    <x v="83"/>
    <d v="2025-03-28T00:00:00"/>
    <x v="2"/>
    <x v="1"/>
    <x v="0"/>
    <x v="0"/>
    <x v="22"/>
    <x v="2"/>
    <x v="12"/>
    <x v="2"/>
  </r>
  <r>
    <x v="2272"/>
    <x v="15"/>
    <x v="12"/>
    <n v="27.4"/>
    <n v="109.6"/>
    <x v="83"/>
    <d v="2025-03-27T00:00:00"/>
    <x v="2"/>
    <x v="0"/>
    <x v="0"/>
    <x v="0"/>
    <x v="3"/>
    <x v="1"/>
    <x v="12"/>
    <x v="2"/>
  </r>
  <r>
    <x v="2273"/>
    <x v="5"/>
    <x v="9"/>
    <n v="34.1"/>
    <n v="170.5"/>
    <x v="83"/>
    <d v="2025-03-27T00:00:00"/>
    <x v="1"/>
    <x v="0"/>
    <x v="2"/>
    <x v="0"/>
    <x v="3"/>
    <x v="1"/>
    <x v="12"/>
    <x v="1"/>
  </r>
  <r>
    <x v="2274"/>
    <x v="0"/>
    <x v="1"/>
    <n v="26"/>
    <n v="52"/>
    <x v="83"/>
    <d v="2025-03-27T00:00:00"/>
    <x v="1"/>
    <x v="2"/>
    <x v="1"/>
    <x v="0"/>
    <x v="3"/>
    <x v="1"/>
    <x v="12"/>
    <x v="1"/>
  </r>
  <r>
    <x v="2275"/>
    <x v="8"/>
    <x v="3"/>
    <n v="19.399999999999999"/>
    <n v="135.79999999999998"/>
    <x v="83"/>
    <d v="2025-03-27T00:00:00"/>
    <x v="0"/>
    <x v="1"/>
    <x v="1"/>
    <x v="0"/>
    <x v="3"/>
    <x v="1"/>
    <x v="12"/>
    <x v="0"/>
  </r>
  <r>
    <x v="2276"/>
    <x v="16"/>
    <x v="2"/>
    <n v="30.3"/>
    <n v="90.9"/>
    <x v="83"/>
    <d v="2025-03-28T00:00:00"/>
    <x v="2"/>
    <x v="1"/>
    <x v="2"/>
    <x v="0"/>
    <x v="3"/>
    <x v="2"/>
    <x v="12"/>
    <x v="2"/>
  </r>
  <r>
    <x v="2277"/>
    <x v="2"/>
    <x v="2"/>
    <n v="101.4"/>
    <n v="304.20000000000005"/>
    <x v="83"/>
    <d v="2025-03-26T00:00:00"/>
    <x v="1"/>
    <x v="0"/>
    <x v="0"/>
    <x v="0"/>
    <x v="3"/>
    <x v="3"/>
    <x v="12"/>
    <x v="1"/>
  </r>
  <r>
    <x v="2278"/>
    <x v="3"/>
    <x v="9"/>
    <n v="55.5"/>
    <n v="277.5"/>
    <x v="83"/>
    <d v="2025-03-28T00:00:00"/>
    <x v="1"/>
    <x v="1"/>
    <x v="0"/>
    <x v="0"/>
    <x v="24"/>
    <x v="2"/>
    <x v="12"/>
    <x v="1"/>
  </r>
  <r>
    <x v="2279"/>
    <x v="8"/>
    <x v="0"/>
    <n v="23.1"/>
    <n v="23.1"/>
    <x v="83"/>
    <d v="2025-03-26T00:00:00"/>
    <x v="1"/>
    <x v="0"/>
    <x v="0"/>
    <x v="0"/>
    <x v="25"/>
    <x v="3"/>
    <x v="12"/>
    <x v="1"/>
  </r>
  <r>
    <x v="2280"/>
    <x v="18"/>
    <x v="1"/>
    <n v="38.9"/>
    <n v="77.8"/>
    <x v="83"/>
    <d v="2025-03-26T00:00:00"/>
    <x v="1"/>
    <x v="2"/>
    <x v="0"/>
    <x v="0"/>
    <x v="25"/>
    <x v="3"/>
    <x v="12"/>
    <x v="1"/>
  </r>
  <r>
    <x v="2281"/>
    <x v="6"/>
    <x v="11"/>
    <n v="116.3"/>
    <n v="1046.7"/>
    <x v="83"/>
    <d v="2025-03-29T00:00:00"/>
    <x v="2"/>
    <x v="0"/>
    <x v="0"/>
    <x v="0"/>
    <x v="5"/>
    <x v="5"/>
    <x v="12"/>
    <x v="2"/>
  </r>
  <r>
    <x v="2282"/>
    <x v="16"/>
    <x v="11"/>
    <n v="64.099999999999994"/>
    <n v="576.9"/>
    <x v="83"/>
    <d v="2025-03-25T00:00:00"/>
    <x v="2"/>
    <x v="0"/>
    <x v="2"/>
    <x v="0"/>
    <x v="6"/>
    <x v="7"/>
    <x v="12"/>
    <x v="2"/>
  </r>
  <r>
    <x v="2283"/>
    <x v="2"/>
    <x v="13"/>
    <n v="109.2"/>
    <n v="655.20000000000005"/>
    <x v="83"/>
    <d v="2025-03-27T00:00:00"/>
    <x v="1"/>
    <x v="0"/>
    <x v="1"/>
    <x v="0"/>
    <x v="8"/>
    <x v="1"/>
    <x v="12"/>
    <x v="1"/>
  </r>
  <r>
    <x v="2284"/>
    <x v="10"/>
    <x v="9"/>
    <n v="23.2"/>
    <n v="116"/>
    <x v="84"/>
    <d v="2025-03-27T00:00:00"/>
    <x v="1"/>
    <x v="0"/>
    <x v="1"/>
    <x v="0"/>
    <x v="8"/>
    <x v="3"/>
    <x v="12"/>
    <x v="1"/>
  </r>
  <r>
    <x v="2285"/>
    <x v="18"/>
    <x v="13"/>
    <n v="81.2"/>
    <n v="487.20000000000005"/>
    <x v="84"/>
    <d v="2025-03-28T00:00:00"/>
    <x v="1"/>
    <x v="2"/>
    <x v="2"/>
    <x v="0"/>
    <x v="8"/>
    <x v="1"/>
    <x v="12"/>
    <x v="1"/>
  </r>
  <r>
    <x v="2286"/>
    <x v="1"/>
    <x v="21"/>
    <n v="35.700000000000003"/>
    <n v="499.80000000000007"/>
    <x v="84"/>
    <d v="2025-03-27T00:00:00"/>
    <x v="1"/>
    <x v="3"/>
    <x v="0"/>
    <x v="0"/>
    <x v="8"/>
    <x v="3"/>
    <x v="12"/>
    <x v="1"/>
  </r>
  <r>
    <x v="2287"/>
    <x v="7"/>
    <x v="1"/>
    <n v="44.5"/>
    <n v="89"/>
    <x v="84"/>
    <d v="2025-03-29T00:00:00"/>
    <x v="1"/>
    <x v="4"/>
    <x v="0"/>
    <x v="0"/>
    <x v="9"/>
    <x v="2"/>
    <x v="12"/>
    <x v="1"/>
  </r>
  <r>
    <x v="2288"/>
    <x v="1"/>
    <x v="9"/>
    <n v="32"/>
    <n v="160"/>
    <x v="84"/>
    <d v="2025-03-28T00:00:00"/>
    <x v="3"/>
    <x v="1"/>
    <x v="1"/>
    <x v="0"/>
    <x v="9"/>
    <x v="1"/>
    <x v="12"/>
    <x v="3"/>
  </r>
  <r>
    <x v="2289"/>
    <x v="8"/>
    <x v="0"/>
    <n v="25.7"/>
    <n v="25.7"/>
    <x v="84"/>
    <d v="2025-03-27T00:00:00"/>
    <x v="1"/>
    <x v="0"/>
    <x v="0"/>
    <x v="0"/>
    <x v="10"/>
    <x v="3"/>
    <x v="12"/>
    <x v="1"/>
  </r>
  <r>
    <x v="2290"/>
    <x v="16"/>
    <x v="2"/>
    <n v="65.599999999999994"/>
    <n v="196.79999999999998"/>
    <x v="84"/>
    <d v="2025-04-01T00:00:00"/>
    <x v="1"/>
    <x v="0"/>
    <x v="0"/>
    <x v="0"/>
    <x v="11"/>
    <x v="4"/>
    <x v="12"/>
    <x v="1"/>
  </r>
  <r>
    <x v="2291"/>
    <x v="1"/>
    <x v="12"/>
    <n v="52.1"/>
    <n v="208.4"/>
    <x v="84"/>
    <d v="2025-03-27T00:00:00"/>
    <x v="2"/>
    <x v="0"/>
    <x v="2"/>
    <x v="0"/>
    <x v="11"/>
    <x v="3"/>
    <x v="12"/>
    <x v="2"/>
  </r>
  <r>
    <x v="2292"/>
    <x v="8"/>
    <x v="0"/>
    <n v="31"/>
    <n v="31"/>
    <x v="84"/>
    <d v="2025-03-27T00:00:00"/>
    <x v="1"/>
    <x v="0"/>
    <x v="1"/>
    <x v="0"/>
    <x v="19"/>
    <x v="3"/>
    <x v="12"/>
    <x v="1"/>
  </r>
  <r>
    <x v="2293"/>
    <x v="8"/>
    <x v="0"/>
    <n v="32"/>
    <n v="32"/>
    <x v="84"/>
    <d v="2025-03-28T00:00:00"/>
    <x v="3"/>
    <x v="3"/>
    <x v="1"/>
    <x v="0"/>
    <x v="31"/>
    <x v="1"/>
    <x v="12"/>
    <x v="3"/>
  </r>
  <r>
    <x v="2294"/>
    <x v="16"/>
    <x v="12"/>
    <n v="58.3"/>
    <n v="233.2"/>
    <x v="84"/>
    <d v="2025-03-30T00:00:00"/>
    <x v="1"/>
    <x v="1"/>
    <x v="4"/>
    <x v="0"/>
    <x v="20"/>
    <x v="5"/>
    <x v="12"/>
    <x v="1"/>
  </r>
  <r>
    <x v="2295"/>
    <x v="8"/>
    <x v="2"/>
    <n v="31"/>
    <n v="93"/>
    <x v="84"/>
    <d v="2025-03-28T00:00:00"/>
    <x v="2"/>
    <x v="2"/>
    <x v="4"/>
    <x v="0"/>
    <x v="13"/>
    <x v="1"/>
    <x v="12"/>
    <x v="2"/>
  </r>
  <r>
    <x v="2296"/>
    <x v="3"/>
    <x v="0"/>
    <n v="40.299999999999997"/>
    <n v="40.299999999999997"/>
    <x v="84"/>
    <d v="2025-03-27T00:00:00"/>
    <x v="1"/>
    <x v="1"/>
    <x v="2"/>
    <x v="0"/>
    <x v="54"/>
    <x v="3"/>
    <x v="12"/>
    <x v="1"/>
  </r>
  <r>
    <x v="2297"/>
    <x v="6"/>
    <x v="2"/>
    <n v="47.3"/>
    <n v="141.89999999999998"/>
    <x v="84"/>
    <d v="2025-03-28T00:00:00"/>
    <x v="1"/>
    <x v="4"/>
    <x v="2"/>
    <x v="0"/>
    <x v="2"/>
    <x v="1"/>
    <x v="12"/>
    <x v="1"/>
  </r>
  <r>
    <x v="2298"/>
    <x v="2"/>
    <x v="0"/>
    <n v="82.8"/>
    <n v="82.8"/>
    <x v="84"/>
    <d v="2025-03-27T00:00:00"/>
    <x v="1"/>
    <x v="0"/>
    <x v="0"/>
    <x v="0"/>
    <x v="2"/>
    <x v="3"/>
    <x v="12"/>
    <x v="1"/>
  </r>
  <r>
    <x v="2299"/>
    <x v="8"/>
    <x v="0"/>
    <n v="18.5"/>
    <n v="18.5"/>
    <x v="84"/>
    <d v="2025-04-09T00:00:00"/>
    <x v="2"/>
    <x v="0"/>
    <x v="0"/>
    <x v="0"/>
    <x v="44"/>
    <x v="12"/>
    <x v="12"/>
    <x v="2"/>
  </r>
  <r>
    <x v="2300"/>
    <x v="3"/>
    <x v="1"/>
    <n v="60.4"/>
    <n v="120.8"/>
    <x v="84"/>
    <d v="2025-03-27T00:00:00"/>
    <x v="1"/>
    <x v="2"/>
    <x v="0"/>
    <x v="0"/>
    <x v="22"/>
    <x v="3"/>
    <x v="12"/>
    <x v="1"/>
  </r>
  <r>
    <x v="2301"/>
    <x v="6"/>
    <x v="9"/>
    <n v="80.2"/>
    <n v="401"/>
    <x v="84"/>
    <d v="2025-04-02T00:00:00"/>
    <x v="1"/>
    <x v="1"/>
    <x v="1"/>
    <x v="0"/>
    <x v="50"/>
    <x v="6"/>
    <x v="12"/>
    <x v="1"/>
  </r>
  <r>
    <x v="2302"/>
    <x v="4"/>
    <x v="0"/>
    <n v="41.5"/>
    <n v="41.5"/>
    <x v="84"/>
    <d v="2025-03-28T00:00:00"/>
    <x v="1"/>
    <x v="2"/>
    <x v="0"/>
    <x v="0"/>
    <x v="3"/>
    <x v="1"/>
    <x v="12"/>
    <x v="1"/>
  </r>
  <r>
    <x v="2303"/>
    <x v="2"/>
    <x v="1"/>
    <n v="83.9"/>
    <n v="167.8"/>
    <x v="84"/>
    <d v="2025-03-29T00:00:00"/>
    <x v="2"/>
    <x v="0"/>
    <x v="0"/>
    <x v="0"/>
    <x v="3"/>
    <x v="2"/>
    <x v="12"/>
    <x v="2"/>
  </r>
  <r>
    <x v="2304"/>
    <x v="8"/>
    <x v="1"/>
    <n v="16.7"/>
    <n v="33.4"/>
    <x v="84"/>
    <d v="2025-03-30T00:00:00"/>
    <x v="2"/>
    <x v="0"/>
    <x v="1"/>
    <x v="0"/>
    <x v="3"/>
    <x v="5"/>
    <x v="12"/>
    <x v="2"/>
  </r>
  <r>
    <x v="2305"/>
    <x v="9"/>
    <x v="1"/>
    <n v="72.900000000000006"/>
    <n v="145.80000000000001"/>
    <x v="84"/>
    <d v="2025-03-27T00:00:00"/>
    <x v="1"/>
    <x v="2"/>
    <x v="1"/>
    <x v="0"/>
    <x v="3"/>
    <x v="3"/>
    <x v="12"/>
    <x v="1"/>
  </r>
  <r>
    <x v="2306"/>
    <x v="5"/>
    <x v="1"/>
    <n v="50.2"/>
    <n v="100.4"/>
    <x v="84"/>
    <d v="2025-03-28T00:00:00"/>
    <x v="2"/>
    <x v="1"/>
    <x v="2"/>
    <x v="0"/>
    <x v="3"/>
    <x v="1"/>
    <x v="12"/>
    <x v="2"/>
  </r>
  <r>
    <x v="2307"/>
    <x v="3"/>
    <x v="1"/>
    <n v="34.200000000000003"/>
    <n v="68.400000000000006"/>
    <x v="84"/>
    <d v="2025-04-05T00:00:00"/>
    <x v="0"/>
    <x v="1"/>
    <x v="0"/>
    <x v="0"/>
    <x v="3"/>
    <x v="14"/>
    <x v="12"/>
    <x v="0"/>
  </r>
  <r>
    <x v="2308"/>
    <x v="5"/>
    <x v="1"/>
    <n v="107.9"/>
    <n v="215.8"/>
    <x v="84"/>
    <d v="2025-03-26T00:00:00"/>
    <x v="1"/>
    <x v="1"/>
    <x v="4"/>
    <x v="0"/>
    <x v="3"/>
    <x v="7"/>
    <x v="12"/>
    <x v="1"/>
  </r>
  <r>
    <x v="2309"/>
    <x v="0"/>
    <x v="2"/>
    <n v="17.5"/>
    <n v="52.5"/>
    <x v="84"/>
    <d v="2025-03-28T00:00:00"/>
    <x v="1"/>
    <x v="4"/>
    <x v="0"/>
    <x v="0"/>
    <x v="3"/>
    <x v="1"/>
    <x v="12"/>
    <x v="1"/>
  </r>
  <r>
    <x v="2310"/>
    <x v="13"/>
    <x v="20"/>
    <n v="44.7"/>
    <n v="670.5"/>
    <x v="84"/>
    <d v="2025-03-27T00:00:00"/>
    <x v="1"/>
    <x v="0"/>
    <x v="1"/>
    <x v="0"/>
    <x v="3"/>
    <x v="3"/>
    <x v="12"/>
    <x v="1"/>
  </r>
  <r>
    <x v="2311"/>
    <x v="12"/>
    <x v="13"/>
    <n v="92.7"/>
    <n v="556.20000000000005"/>
    <x v="84"/>
    <d v="2025-03-28T00:00:00"/>
    <x v="2"/>
    <x v="2"/>
    <x v="1"/>
    <x v="0"/>
    <x v="3"/>
    <x v="1"/>
    <x v="12"/>
    <x v="2"/>
  </r>
  <r>
    <x v="2312"/>
    <x v="7"/>
    <x v="2"/>
    <n v="48.8"/>
    <n v="146.39999999999998"/>
    <x v="84"/>
    <d v="2025-03-28T00:00:00"/>
    <x v="2"/>
    <x v="2"/>
    <x v="0"/>
    <x v="0"/>
    <x v="3"/>
    <x v="1"/>
    <x v="12"/>
    <x v="2"/>
  </r>
  <r>
    <x v="2313"/>
    <x v="4"/>
    <x v="27"/>
    <n v="21.3"/>
    <n v="340.8"/>
    <x v="84"/>
    <d v="2025-03-30T00:00:00"/>
    <x v="2"/>
    <x v="3"/>
    <x v="3"/>
    <x v="0"/>
    <x v="3"/>
    <x v="5"/>
    <x v="12"/>
    <x v="2"/>
  </r>
  <r>
    <x v="2314"/>
    <x v="16"/>
    <x v="0"/>
    <n v="52.5"/>
    <n v="52.5"/>
    <x v="84"/>
    <d v="2025-03-27T00:00:00"/>
    <x v="2"/>
    <x v="0"/>
    <x v="0"/>
    <x v="0"/>
    <x v="3"/>
    <x v="3"/>
    <x v="12"/>
    <x v="2"/>
  </r>
  <r>
    <x v="2315"/>
    <x v="1"/>
    <x v="1"/>
    <n v="92.4"/>
    <n v="184.8"/>
    <x v="84"/>
    <d v="2025-04-01T00:00:00"/>
    <x v="2"/>
    <x v="0"/>
    <x v="2"/>
    <x v="0"/>
    <x v="3"/>
    <x v="4"/>
    <x v="12"/>
    <x v="2"/>
  </r>
  <r>
    <x v="2316"/>
    <x v="4"/>
    <x v="5"/>
    <n v="58.3"/>
    <n v="641.29999999999995"/>
    <x v="84"/>
    <d v="2025-03-28T00:00:00"/>
    <x v="1"/>
    <x v="1"/>
    <x v="2"/>
    <x v="0"/>
    <x v="3"/>
    <x v="1"/>
    <x v="12"/>
    <x v="1"/>
  </r>
  <r>
    <x v="2317"/>
    <x v="6"/>
    <x v="44"/>
    <n v="152.6"/>
    <n v="3509.7999999999997"/>
    <x v="85"/>
    <d v="2025-03-29T00:00:00"/>
    <x v="0"/>
    <x v="0"/>
    <x v="0"/>
    <x v="0"/>
    <x v="3"/>
    <x v="1"/>
    <x v="12"/>
    <x v="0"/>
  </r>
  <r>
    <x v="2318"/>
    <x v="8"/>
    <x v="1"/>
    <n v="26"/>
    <n v="52"/>
    <x v="85"/>
    <d v="2025-03-27T00:00:00"/>
    <x v="0"/>
    <x v="0"/>
    <x v="1"/>
    <x v="0"/>
    <x v="3"/>
    <x v="7"/>
    <x v="12"/>
    <x v="0"/>
  </r>
  <r>
    <x v="2319"/>
    <x v="1"/>
    <x v="12"/>
    <n v="33.1"/>
    <n v="132.4"/>
    <x v="85"/>
    <d v="2025-03-27T00:00:00"/>
    <x v="1"/>
    <x v="2"/>
    <x v="4"/>
    <x v="0"/>
    <x v="5"/>
    <x v="7"/>
    <x v="12"/>
    <x v="1"/>
  </r>
  <r>
    <x v="2320"/>
    <x v="18"/>
    <x v="0"/>
    <n v="51.4"/>
    <n v="51.4"/>
    <x v="85"/>
    <d v="2025-03-29T00:00:00"/>
    <x v="2"/>
    <x v="1"/>
    <x v="1"/>
    <x v="0"/>
    <x v="5"/>
    <x v="1"/>
    <x v="12"/>
    <x v="2"/>
  </r>
  <r>
    <x v="2321"/>
    <x v="8"/>
    <x v="1"/>
    <n v="30.2"/>
    <n v="60.4"/>
    <x v="85"/>
    <d v="2025-03-28T00:00:00"/>
    <x v="2"/>
    <x v="2"/>
    <x v="2"/>
    <x v="0"/>
    <x v="6"/>
    <x v="3"/>
    <x v="12"/>
    <x v="2"/>
  </r>
  <r>
    <x v="2322"/>
    <x v="2"/>
    <x v="13"/>
    <n v="97"/>
    <n v="582"/>
    <x v="85"/>
    <d v="2025-03-31T00:00:00"/>
    <x v="2"/>
    <x v="0"/>
    <x v="2"/>
    <x v="0"/>
    <x v="7"/>
    <x v="5"/>
    <x v="12"/>
    <x v="2"/>
  </r>
  <r>
    <x v="2323"/>
    <x v="2"/>
    <x v="0"/>
    <n v="76.900000000000006"/>
    <n v="76.900000000000006"/>
    <x v="85"/>
    <d v="2025-03-28T00:00:00"/>
    <x v="1"/>
    <x v="1"/>
    <x v="2"/>
    <x v="0"/>
    <x v="8"/>
    <x v="3"/>
    <x v="12"/>
    <x v="1"/>
  </r>
  <r>
    <x v="2324"/>
    <x v="7"/>
    <x v="13"/>
    <n v="36.1"/>
    <n v="216.60000000000002"/>
    <x v="85"/>
    <d v="2025-03-31T00:00:00"/>
    <x v="2"/>
    <x v="0"/>
    <x v="0"/>
    <x v="0"/>
    <x v="8"/>
    <x v="5"/>
    <x v="12"/>
    <x v="2"/>
  </r>
  <r>
    <x v="2325"/>
    <x v="1"/>
    <x v="3"/>
    <n v="34.4"/>
    <n v="240.79999999999998"/>
    <x v="85"/>
    <d v="2025-03-27T00:00:00"/>
    <x v="2"/>
    <x v="2"/>
    <x v="1"/>
    <x v="0"/>
    <x v="11"/>
    <x v="7"/>
    <x v="12"/>
    <x v="2"/>
  </r>
  <r>
    <x v="2326"/>
    <x v="1"/>
    <x v="31"/>
    <n v="53.4"/>
    <n v="1495.2"/>
    <x v="85"/>
    <d v="2025-03-29T00:00:00"/>
    <x v="2"/>
    <x v="1"/>
    <x v="0"/>
    <x v="0"/>
    <x v="18"/>
    <x v="1"/>
    <x v="12"/>
    <x v="2"/>
  </r>
  <r>
    <x v="2327"/>
    <x v="2"/>
    <x v="0"/>
    <n v="77.599999999999994"/>
    <n v="77.599999999999994"/>
    <x v="85"/>
    <d v="2025-03-28T00:00:00"/>
    <x v="2"/>
    <x v="0"/>
    <x v="1"/>
    <x v="0"/>
    <x v="19"/>
    <x v="3"/>
    <x v="12"/>
    <x v="2"/>
  </r>
  <r>
    <x v="2328"/>
    <x v="1"/>
    <x v="2"/>
    <n v="71.7"/>
    <n v="215.10000000000002"/>
    <x v="85"/>
    <d v="2025-03-30T00:00:00"/>
    <x v="2"/>
    <x v="1"/>
    <x v="0"/>
    <x v="0"/>
    <x v="19"/>
    <x v="2"/>
    <x v="12"/>
    <x v="2"/>
  </r>
  <r>
    <x v="2329"/>
    <x v="3"/>
    <x v="2"/>
    <n v="80.599999999999994"/>
    <n v="241.79999999999998"/>
    <x v="85"/>
    <d v="2025-03-28T00:00:00"/>
    <x v="1"/>
    <x v="4"/>
    <x v="1"/>
    <x v="0"/>
    <x v="19"/>
    <x v="3"/>
    <x v="12"/>
    <x v="1"/>
  </r>
  <r>
    <x v="2330"/>
    <x v="1"/>
    <x v="20"/>
    <n v="70"/>
    <n v="1050"/>
    <x v="85"/>
    <d v="2025-03-29T00:00:00"/>
    <x v="1"/>
    <x v="0"/>
    <x v="0"/>
    <x v="0"/>
    <x v="20"/>
    <x v="1"/>
    <x v="12"/>
    <x v="1"/>
  </r>
  <r>
    <x v="2331"/>
    <x v="4"/>
    <x v="13"/>
    <n v="27.3"/>
    <n v="163.80000000000001"/>
    <x v="85"/>
    <d v="2025-03-29T00:00:00"/>
    <x v="2"/>
    <x v="1"/>
    <x v="1"/>
    <x v="0"/>
    <x v="2"/>
    <x v="1"/>
    <x v="12"/>
    <x v="2"/>
  </r>
  <r>
    <x v="2332"/>
    <x v="8"/>
    <x v="21"/>
    <n v="37.6"/>
    <n v="526.4"/>
    <x v="85"/>
    <d v="2025-03-29T00:00:00"/>
    <x v="1"/>
    <x v="1"/>
    <x v="0"/>
    <x v="0"/>
    <x v="3"/>
    <x v="1"/>
    <x v="12"/>
    <x v="1"/>
  </r>
  <r>
    <x v="2333"/>
    <x v="5"/>
    <x v="2"/>
    <n v="36.6"/>
    <n v="109.80000000000001"/>
    <x v="85"/>
    <d v="2025-03-29T00:00:00"/>
    <x v="2"/>
    <x v="4"/>
    <x v="0"/>
    <x v="0"/>
    <x v="3"/>
    <x v="1"/>
    <x v="12"/>
    <x v="2"/>
  </r>
  <r>
    <x v="2334"/>
    <x v="13"/>
    <x v="0"/>
    <n v="55.2"/>
    <n v="55.2"/>
    <x v="85"/>
    <d v="2025-03-29T00:00:00"/>
    <x v="1"/>
    <x v="3"/>
    <x v="0"/>
    <x v="0"/>
    <x v="3"/>
    <x v="1"/>
    <x v="12"/>
    <x v="1"/>
  </r>
  <r>
    <x v="2335"/>
    <x v="6"/>
    <x v="9"/>
    <n v="59.9"/>
    <n v="299.5"/>
    <x v="85"/>
    <d v="2025-03-29T00:00:00"/>
    <x v="1"/>
    <x v="0"/>
    <x v="0"/>
    <x v="0"/>
    <x v="3"/>
    <x v="1"/>
    <x v="12"/>
    <x v="1"/>
  </r>
  <r>
    <x v="2336"/>
    <x v="6"/>
    <x v="0"/>
    <n v="44"/>
    <n v="44"/>
    <x v="85"/>
    <d v="2025-03-28T00:00:00"/>
    <x v="2"/>
    <x v="2"/>
    <x v="2"/>
    <x v="0"/>
    <x v="3"/>
    <x v="3"/>
    <x v="12"/>
    <x v="2"/>
  </r>
  <r>
    <x v="2337"/>
    <x v="9"/>
    <x v="1"/>
    <n v="68.7"/>
    <n v="137.4"/>
    <x v="85"/>
    <d v="2025-03-27T00:00:00"/>
    <x v="1"/>
    <x v="0"/>
    <x v="0"/>
    <x v="0"/>
    <x v="3"/>
    <x v="7"/>
    <x v="12"/>
    <x v="1"/>
  </r>
  <r>
    <x v="2338"/>
    <x v="5"/>
    <x v="1"/>
    <n v="61.6"/>
    <n v="123.2"/>
    <x v="85"/>
    <d v="2025-03-31T00:00:00"/>
    <x v="1"/>
    <x v="3"/>
    <x v="1"/>
    <x v="0"/>
    <x v="3"/>
    <x v="5"/>
    <x v="12"/>
    <x v="1"/>
  </r>
  <r>
    <x v="2339"/>
    <x v="7"/>
    <x v="3"/>
    <n v="51.8"/>
    <n v="362.59999999999997"/>
    <x v="85"/>
    <d v="2025-03-28T00:00:00"/>
    <x v="1"/>
    <x v="0"/>
    <x v="0"/>
    <x v="0"/>
    <x v="3"/>
    <x v="3"/>
    <x v="12"/>
    <x v="1"/>
  </r>
  <r>
    <x v="2340"/>
    <x v="8"/>
    <x v="7"/>
    <n v="46.2"/>
    <n v="462"/>
    <x v="85"/>
    <d v="2025-03-29T00:00:00"/>
    <x v="1"/>
    <x v="1"/>
    <x v="2"/>
    <x v="0"/>
    <x v="3"/>
    <x v="1"/>
    <x v="12"/>
    <x v="1"/>
  </r>
  <r>
    <x v="2341"/>
    <x v="0"/>
    <x v="1"/>
    <n v="19.399999999999999"/>
    <n v="38.799999999999997"/>
    <x v="85"/>
    <d v="2025-03-29T00:00:00"/>
    <x v="2"/>
    <x v="1"/>
    <x v="2"/>
    <x v="0"/>
    <x v="6"/>
    <x v="1"/>
    <x v="12"/>
    <x v="2"/>
  </r>
  <r>
    <x v="2342"/>
    <x v="11"/>
    <x v="2"/>
    <n v="52.1"/>
    <n v="156.30000000000001"/>
    <x v="85"/>
    <d v="2025-03-30T00:00:00"/>
    <x v="1"/>
    <x v="3"/>
    <x v="3"/>
    <x v="0"/>
    <x v="6"/>
    <x v="2"/>
    <x v="12"/>
    <x v="1"/>
  </r>
  <r>
    <x v="2343"/>
    <x v="6"/>
    <x v="0"/>
    <n v="74.900000000000006"/>
    <n v="74.900000000000006"/>
    <x v="85"/>
    <d v="2025-03-29T00:00:00"/>
    <x v="3"/>
    <x v="0"/>
    <x v="0"/>
    <x v="0"/>
    <x v="7"/>
    <x v="1"/>
    <x v="12"/>
    <x v="3"/>
  </r>
  <r>
    <x v="2344"/>
    <x v="9"/>
    <x v="3"/>
    <n v="49.6"/>
    <n v="347.2"/>
    <x v="85"/>
    <d v="2025-03-30T00:00:00"/>
    <x v="2"/>
    <x v="4"/>
    <x v="0"/>
    <x v="0"/>
    <x v="8"/>
    <x v="2"/>
    <x v="12"/>
    <x v="2"/>
  </r>
  <r>
    <x v="2345"/>
    <x v="16"/>
    <x v="12"/>
    <n v="82.8"/>
    <n v="331.2"/>
    <x v="86"/>
    <d v="2025-03-31T00:00:00"/>
    <x v="2"/>
    <x v="4"/>
    <x v="0"/>
    <x v="0"/>
    <x v="8"/>
    <x v="2"/>
    <x v="12"/>
    <x v="2"/>
  </r>
  <r>
    <x v="2346"/>
    <x v="2"/>
    <x v="0"/>
    <n v="97.7"/>
    <n v="97.7"/>
    <x v="86"/>
    <d v="2025-03-29T00:00:00"/>
    <x v="2"/>
    <x v="1"/>
    <x v="0"/>
    <x v="0"/>
    <x v="8"/>
    <x v="3"/>
    <x v="12"/>
    <x v="2"/>
  </r>
  <r>
    <x v="2347"/>
    <x v="6"/>
    <x v="9"/>
    <n v="83.6"/>
    <n v="418"/>
    <x v="86"/>
    <d v="2025-03-29T00:00:00"/>
    <x v="2"/>
    <x v="4"/>
    <x v="0"/>
    <x v="0"/>
    <x v="8"/>
    <x v="3"/>
    <x v="12"/>
    <x v="2"/>
  </r>
  <r>
    <x v="2348"/>
    <x v="8"/>
    <x v="9"/>
    <n v="23.5"/>
    <n v="117.5"/>
    <x v="86"/>
    <d v="2025-04-01T00:00:00"/>
    <x v="3"/>
    <x v="0"/>
    <x v="0"/>
    <x v="0"/>
    <x v="8"/>
    <x v="5"/>
    <x v="12"/>
    <x v="3"/>
  </r>
  <r>
    <x v="2349"/>
    <x v="9"/>
    <x v="2"/>
    <n v="44.6"/>
    <n v="133.80000000000001"/>
    <x v="86"/>
    <d v="2025-03-31T00:00:00"/>
    <x v="2"/>
    <x v="4"/>
    <x v="1"/>
    <x v="0"/>
    <x v="26"/>
    <x v="2"/>
    <x v="12"/>
    <x v="2"/>
  </r>
  <r>
    <x v="2350"/>
    <x v="0"/>
    <x v="2"/>
    <n v="20.100000000000001"/>
    <n v="60.300000000000004"/>
    <x v="86"/>
    <d v="2025-03-30T00:00:00"/>
    <x v="2"/>
    <x v="3"/>
    <x v="4"/>
    <x v="0"/>
    <x v="11"/>
    <x v="1"/>
    <x v="12"/>
    <x v="2"/>
  </r>
  <r>
    <x v="2351"/>
    <x v="2"/>
    <x v="9"/>
    <n v="153.6"/>
    <n v="768"/>
    <x v="86"/>
    <d v="2025-03-29T00:00:00"/>
    <x v="2"/>
    <x v="1"/>
    <x v="2"/>
    <x v="0"/>
    <x v="53"/>
    <x v="3"/>
    <x v="12"/>
    <x v="2"/>
  </r>
  <r>
    <x v="2352"/>
    <x v="1"/>
    <x v="1"/>
    <n v="71.8"/>
    <n v="143.6"/>
    <x v="86"/>
    <d v="2025-04-01T00:00:00"/>
    <x v="2"/>
    <x v="1"/>
    <x v="0"/>
    <x v="0"/>
    <x v="1"/>
    <x v="5"/>
    <x v="12"/>
    <x v="2"/>
  </r>
  <r>
    <x v="2353"/>
    <x v="10"/>
    <x v="0"/>
    <n v="64.7"/>
    <n v="64.7"/>
    <x v="86"/>
    <d v="2025-03-30T00:00:00"/>
    <x v="0"/>
    <x v="0"/>
    <x v="1"/>
    <x v="0"/>
    <x v="1"/>
    <x v="1"/>
    <x v="12"/>
    <x v="0"/>
  </r>
  <r>
    <x v="2354"/>
    <x v="9"/>
    <x v="8"/>
    <n v="60.4"/>
    <n v="483.2"/>
    <x v="86"/>
    <d v="2025-03-30T00:00:00"/>
    <x v="2"/>
    <x v="3"/>
    <x v="2"/>
    <x v="0"/>
    <x v="2"/>
    <x v="1"/>
    <x v="12"/>
    <x v="2"/>
  </r>
  <r>
    <x v="2355"/>
    <x v="6"/>
    <x v="12"/>
    <n v="86"/>
    <n v="344"/>
    <x v="86"/>
    <d v="2025-03-31T00:00:00"/>
    <x v="2"/>
    <x v="2"/>
    <x v="2"/>
    <x v="0"/>
    <x v="22"/>
    <x v="2"/>
    <x v="12"/>
    <x v="2"/>
  </r>
  <r>
    <x v="2356"/>
    <x v="12"/>
    <x v="1"/>
    <n v="42.1"/>
    <n v="84.2"/>
    <x v="86"/>
    <d v="2025-03-29T00:00:00"/>
    <x v="2"/>
    <x v="4"/>
    <x v="1"/>
    <x v="0"/>
    <x v="34"/>
    <x v="3"/>
    <x v="12"/>
    <x v="2"/>
  </r>
  <r>
    <x v="2357"/>
    <x v="16"/>
    <x v="11"/>
    <n v="51.1"/>
    <n v="459.90000000000003"/>
    <x v="86"/>
    <d v="2025-03-29T00:00:00"/>
    <x v="1"/>
    <x v="2"/>
    <x v="1"/>
    <x v="0"/>
    <x v="3"/>
    <x v="3"/>
    <x v="12"/>
    <x v="1"/>
  </r>
  <r>
    <x v="2358"/>
    <x v="9"/>
    <x v="12"/>
    <n v="73.8"/>
    <n v="295.2"/>
    <x v="86"/>
    <d v="2025-03-29T00:00:00"/>
    <x v="1"/>
    <x v="4"/>
    <x v="0"/>
    <x v="0"/>
    <x v="3"/>
    <x v="3"/>
    <x v="12"/>
    <x v="1"/>
  </r>
  <r>
    <x v="2359"/>
    <x v="8"/>
    <x v="9"/>
    <n v="27"/>
    <n v="135"/>
    <x v="86"/>
    <d v="2025-03-31T00:00:00"/>
    <x v="2"/>
    <x v="2"/>
    <x v="2"/>
    <x v="0"/>
    <x v="3"/>
    <x v="2"/>
    <x v="12"/>
    <x v="2"/>
  </r>
  <r>
    <x v="2360"/>
    <x v="8"/>
    <x v="13"/>
    <n v="60.1"/>
    <n v="360.6"/>
    <x v="86"/>
    <d v="2025-03-29T00:00:00"/>
    <x v="1"/>
    <x v="3"/>
    <x v="0"/>
    <x v="0"/>
    <x v="3"/>
    <x v="3"/>
    <x v="12"/>
    <x v="1"/>
  </r>
  <r>
    <x v="2361"/>
    <x v="2"/>
    <x v="3"/>
    <n v="94.1"/>
    <n v="658.69999999999993"/>
    <x v="86"/>
    <d v="2025-03-30T00:00:00"/>
    <x v="2"/>
    <x v="4"/>
    <x v="1"/>
    <x v="0"/>
    <x v="3"/>
    <x v="1"/>
    <x v="12"/>
    <x v="2"/>
  </r>
  <r>
    <x v="2362"/>
    <x v="2"/>
    <x v="1"/>
    <n v="124.1"/>
    <n v="248.2"/>
    <x v="86"/>
    <d v="2025-03-28T00:00:00"/>
    <x v="2"/>
    <x v="2"/>
    <x v="3"/>
    <x v="0"/>
    <x v="43"/>
    <x v="7"/>
    <x v="12"/>
    <x v="2"/>
  </r>
  <r>
    <x v="2363"/>
    <x v="8"/>
    <x v="12"/>
    <n v="16.899999999999999"/>
    <n v="67.599999999999994"/>
    <x v="86"/>
    <d v="2025-03-31T00:00:00"/>
    <x v="1"/>
    <x v="3"/>
    <x v="0"/>
    <x v="0"/>
    <x v="6"/>
    <x v="2"/>
    <x v="12"/>
    <x v="1"/>
  </r>
  <r>
    <x v="2364"/>
    <x v="1"/>
    <x v="0"/>
    <n v="36.9"/>
    <n v="36.9"/>
    <x v="86"/>
    <d v="2025-03-29T00:00:00"/>
    <x v="1"/>
    <x v="0"/>
    <x v="0"/>
    <x v="0"/>
    <x v="6"/>
    <x v="3"/>
    <x v="12"/>
    <x v="1"/>
  </r>
  <r>
    <x v="2365"/>
    <x v="9"/>
    <x v="1"/>
    <n v="22.6"/>
    <n v="45.2"/>
    <x v="86"/>
    <d v="2025-04-10T00:00:00"/>
    <x v="2"/>
    <x v="2"/>
    <x v="1"/>
    <x v="0"/>
    <x v="8"/>
    <x v="10"/>
    <x v="12"/>
    <x v="2"/>
  </r>
  <r>
    <x v="2366"/>
    <x v="7"/>
    <x v="12"/>
    <n v="35"/>
    <n v="140"/>
    <x v="86"/>
    <d v="2025-04-02T00:00:00"/>
    <x v="1"/>
    <x v="3"/>
    <x v="1"/>
    <x v="0"/>
    <x v="8"/>
    <x v="0"/>
    <x v="12"/>
    <x v="1"/>
  </r>
  <r>
    <x v="2367"/>
    <x v="9"/>
    <x v="13"/>
    <n v="63.6"/>
    <n v="381.6"/>
    <x v="86"/>
    <d v="2025-04-04T00:00:00"/>
    <x v="0"/>
    <x v="1"/>
    <x v="2"/>
    <x v="0"/>
    <x v="8"/>
    <x v="6"/>
    <x v="12"/>
    <x v="0"/>
  </r>
  <r>
    <x v="2368"/>
    <x v="15"/>
    <x v="12"/>
    <n v="78.599999999999994"/>
    <n v="314.39999999999998"/>
    <x v="86"/>
    <d v="2025-03-29T00:00:00"/>
    <x v="1"/>
    <x v="4"/>
    <x v="1"/>
    <x v="0"/>
    <x v="8"/>
    <x v="3"/>
    <x v="12"/>
    <x v="1"/>
  </r>
  <r>
    <x v="2369"/>
    <x v="3"/>
    <x v="1"/>
    <n v="38.5"/>
    <n v="77"/>
    <x v="86"/>
    <d v="2025-03-29T00:00:00"/>
    <x v="1"/>
    <x v="0"/>
    <x v="2"/>
    <x v="0"/>
    <x v="8"/>
    <x v="3"/>
    <x v="12"/>
    <x v="1"/>
  </r>
  <r>
    <x v="2370"/>
    <x v="8"/>
    <x v="5"/>
    <n v="71.5"/>
    <n v="786.5"/>
    <x v="86"/>
    <d v="2025-03-29T00:00:00"/>
    <x v="2"/>
    <x v="1"/>
    <x v="4"/>
    <x v="0"/>
    <x v="8"/>
    <x v="3"/>
    <x v="12"/>
    <x v="2"/>
  </r>
  <r>
    <x v="2371"/>
    <x v="6"/>
    <x v="12"/>
    <n v="121.4"/>
    <n v="485.6"/>
    <x v="86"/>
    <d v="2025-04-01T00:00:00"/>
    <x v="1"/>
    <x v="1"/>
    <x v="2"/>
    <x v="0"/>
    <x v="17"/>
    <x v="5"/>
    <x v="12"/>
    <x v="1"/>
  </r>
  <r>
    <x v="2372"/>
    <x v="11"/>
    <x v="0"/>
    <n v="40.200000000000003"/>
    <n v="40.200000000000003"/>
    <x v="86"/>
    <d v="2025-03-31T00:00:00"/>
    <x v="2"/>
    <x v="0"/>
    <x v="2"/>
    <x v="0"/>
    <x v="11"/>
    <x v="2"/>
    <x v="12"/>
    <x v="2"/>
  </r>
  <r>
    <x v="2373"/>
    <x v="5"/>
    <x v="9"/>
    <n v="31.9"/>
    <n v="159.5"/>
    <x v="86"/>
    <d v="2025-03-30T00:00:00"/>
    <x v="2"/>
    <x v="2"/>
    <x v="2"/>
    <x v="0"/>
    <x v="28"/>
    <x v="1"/>
    <x v="12"/>
    <x v="2"/>
  </r>
  <r>
    <x v="2374"/>
    <x v="14"/>
    <x v="9"/>
    <n v="15.8"/>
    <n v="79"/>
    <x v="87"/>
    <d v="2025-03-30T00:00:00"/>
    <x v="1"/>
    <x v="3"/>
    <x v="2"/>
    <x v="0"/>
    <x v="21"/>
    <x v="3"/>
    <x v="12"/>
    <x v="1"/>
  </r>
  <r>
    <x v="2375"/>
    <x v="10"/>
    <x v="1"/>
    <n v="25.1"/>
    <n v="50.2"/>
    <x v="87"/>
    <d v="2025-03-31T00:00:00"/>
    <x v="0"/>
    <x v="1"/>
    <x v="0"/>
    <x v="0"/>
    <x v="21"/>
    <x v="1"/>
    <x v="12"/>
    <x v="0"/>
  </r>
  <r>
    <x v="2376"/>
    <x v="1"/>
    <x v="44"/>
    <n v="38.1"/>
    <n v="876.30000000000007"/>
    <x v="87"/>
    <d v="2025-03-30T00:00:00"/>
    <x v="2"/>
    <x v="4"/>
    <x v="0"/>
    <x v="0"/>
    <x v="1"/>
    <x v="3"/>
    <x v="12"/>
    <x v="2"/>
  </r>
  <r>
    <x v="2377"/>
    <x v="3"/>
    <x v="1"/>
    <n v="42.2"/>
    <n v="84.4"/>
    <x v="87"/>
    <d v="2025-03-31T00:00:00"/>
    <x v="2"/>
    <x v="0"/>
    <x v="2"/>
    <x v="0"/>
    <x v="1"/>
    <x v="1"/>
    <x v="12"/>
    <x v="2"/>
  </r>
  <r>
    <x v="2378"/>
    <x v="0"/>
    <x v="7"/>
    <n v="12.3"/>
    <n v="123"/>
    <x v="87"/>
    <d v="2025-03-30T00:00:00"/>
    <x v="2"/>
    <x v="4"/>
    <x v="0"/>
    <x v="0"/>
    <x v="2"/>
    <x v="3"/>
    <x v="12"/>
    <x v="2"/>
  </r>
  <r>
    <x v="2379"/>
    <x v="7"/>
    <x v="0"/>
    <n v="30.2"/>
    <n v="30.2"/>
    <x v="87"/>
    <d v="2025-03-31T00:00:00"/>
    <x v="2"/>
    <x v="1"/>
    <x v="2"/>
    <x v="0"/>
    <x v="34"/>
    <x v="1"/>
    <x v="12"/>
    <x v="2"/>
  </r>
  <r>
    <x v="2380"/>
    <x v="5"/>
    <x v="2"/>
    <n v="25.3"/>
    <n v="75.900000000000006"/>
    <x v="87"/>
    <d v="2025-04-01T00:00:00"/>
    <x v="2"/>
    <x v="2"/>
    <x v="0"/>
    <x v="0"/>
    <x v="3"/>
    <x v="2"/>
    <x v="12"/>
    <x v="2"/>
  </r>
  <r>
    <x v="2381"/>
    <x v="8"/>
    <x v="9"/>
    <n v="29.7"/>
    <n v="148.5"/>
    <x v="87"/>
    <d v="2025-03-31T00:00:00"/>
    <x v="1"/>
    <x v="3"/>
    <x v="0"/>
    <x v="0"/>
    <x v="3"/>
    <x v="1"/>
    <x v="12"/>
    <x v="1"/>
  </r>
  <r>
    <x v="2382"/>
    <x v="9"/>
    <x v="8"/>
    <n v="32.9"/>
    <n v="263.2"/>
    <x v="87"/>
    <d v="2025-03-30T00:00:00"/>
    <x v="0"/>
    <x v="3"/>
    <x v="2"/>
    <x v="0"/>
    <x v="3"/>
    <x v="3"/>
    <x v="12"/>
    <x v="0"/>
  </r>
  <r>
    <x v="2383"/>
    <x v="10"/>
    <x v="1"/>
    <n v="43.6"/>
    <n v="87.2"/>
    <x v="87"/>
    <d v="2025-03-30T00:00:00"/>
    <x v="1"/>
    <x v="1"/>
    <x v="2"/>
    <x v="0"/>
    <x v="3"/>
    <x v="3"/>
    <x v="12"/>
    <x v="1"/>
  </r>
  <r>
    <x v="2384"/>
    <x v="15"/>
    <x v="12"/>
    <n v="78.400000000000006"/>
    <n v="313.60000000000002"/>
    <x v="87"/>
    <d v="2025-03-30T00:00:00"/>
    <x v="1"/>
    <x v="2"/>
    <x v="0"/>
    <x v="0"/>
    <x v="3"/>
    <x v="3"/>
    <x v="12"/>
    <x v="1"/>
  </r>
  <r>
    <x v="2385"/>
    <x v="6"/>
    <x v="1"/>
    <n v="56.5"/>
    <n v="113"/>
    <x v="87"/>
    <d v="2025-04-02T00:00:00"/>
    <x v="1"/>
    <x v="1"/>
    <x v="1"/>
    <x v="0"/>
    <x v="3"/>
    <x v="5"/>
    <x v="12"/>
    <x v="1"/>
  </r>
  <r>
    <x v="2386"/>
    <x v="16"/>
    <x v="0"/>
    <n v="36.700000000000003"/>
    <n v="36.700000000000003"/>
    <x v="87"/>
    <d v="2025-03-30T00:00:00"/>
    <x v="2"/>
    <x v="0"/>
    <x v="2"/>
    <x v="0"/>
    <x v="3"/>
    <x v="3"/>
    <x v="12"/>
    <x v="2"/>
  </r>
  <r>
    <x v="2387"/>
    <x v="2"/>
    <x v="12"/>
    <n v="103.6"/>
    <n v="414.4"/>
    <x v="87"/>
    <d v="2025-04-09T00:00:00"/>
    <x v="1"/>
    <x v="4"/>
    <x v="2"/>
    <x v="0"/>
    <x v="3"/>
    <x v="11"/>
    <x v="12"/>
    <x v="1"/>
  </r>
  <r>
    <x v="2388"/>
    <x v="8"/>
    <x v="13"/>
    <n v="16.2"/>
    <n v="97.199999999999989"/>
    <x v="87"/>
    <d v="2025-04-02T00:00:00"/>
    <x v="1"/>
    <x v="1"/>
    <x v="2"/>
    <x v="0"/>
    <x v="6"/>
    <x v="5"/>
    <x v="12"/>
    <x v="1"/>
  </r>
  <r>
    <x v="2389"/>
    <x v="8"/>
    <x v="1"/>
    <n v="20.2"/>
    <n v="40.4"/>
    <x v="87"/>
    <d v="2025-03-30T00:00:00"/>
    <x v="2"/>
    <x v="0"/>
    <x v="0"/>
    <x v="0"/>
    <x v="6"/>
    <x v="3"/>
    <x v="12"/>
    <x v="2"/>
  </r>
  <r>
    <x v="2390"/>
    <x v="11"/>
    <x v="1"/>
    <n v="26.9"/>
    <n v="53.8"/>
    <x v="87"/>
    <d v="2025-03-31T00:00:00"/>
    <x v="2"/>
    <x v="2"/>
    <x v="0"/>
    <x v="0"/>
    <x v="6"/>
    <x v="1"/>
    <x v="12"/>
    <x v="2"/>
  </r>
  <r>
    <x v="2391"/>
    <x v="1"/>
    <x v="1"/>
    <n v="82.4"/>
    <n v="164.8"/>
    <x v="87"/>
    <d v="2025-04-01T00:00:00"/>
    <x v="0"/>
    <x v="0"/>
    <x v="0"/>
    <x v="0"/>
    <x v="7"/>
    <x v="2"/>
    <x v="12"/>
    <x v="0"/>
  </r>
  <r>
    <x v="2392"/>
    <x v="2"/>
    <x v="1"/>
    <n v="117.8"/>
    <n v="235.6"/>
    <x v="87"/>
    <d v="2025-03-31T00:00:00"/>
    <x v="1"/>
    <x v="1"/>
    <x v="2"/>
    <x v="0"/>
    <x v="8"/>
    <x v="1"/>
    <x v="12"/>
    <x v="1"/>
  </r>
  <r>
    <x v="2393"/>
    <x v="11"/>
    <x v="12"/>
    <n v="36.700000000000003"/>
    <n v="146.80000000000001"/>
    <x v="87"/>
    <d v="2025-03-30T00:00:00"/>
    <x v="1"/>
    <x v="1"/>
    <x v="0"/>
    <x v="0"/>
    <x v="8"/>
    <x v="3"/>
    <x v="12"/>
    <x v="1"/>
  </r>
  <r>
    <x v="2394"/>
    <x v="17"/>
    <x v="2"/>
    <n v="46.8"/>
    <n v="140.39999999999998"/>
    <x v="87"/>
    <d v="2025-03-30T00:00:00"/>
    <x v="1"/>
    <x v="4"/>
    <x v="2"/>
    <x v="0"/>
    <x v="10"/>
    <x v="3"/>
    <x v="12"/>
    <x v="1"/>
  </r>
  <r>
    <x v="2395"/>
    <x v="3"/>
    <x v="0"/>
    <n v="61.4"/>
    <n v="61.4"/>
    <x v="87"/>
    <d v="2025-03-30T00:00:00"/>
    <x v="1"/>
    <x v="1"/>
    <x v="0"/>
    <x v="0"/>
    <x v="10"/>
    <x v="3"/>
    <x v="12"/>
    <x v="1"/>
  </r>
  <r>
    <x v="2396"/>
    <x v="15"/>
    <x v="1"/>
    <n v="22.9"/>
    <n v="45.8"/>
    <x v="87"/>
    <d v="2025-03-30T00:00:00"/>
    <x v="1"/>
    <x v="0"/>
    <x v="0"/>
    <x v="0"/>
    <x v="11"/>
    <x v="3"/>
    <x v="12"/>
    <x v="1"/>
  </r>
  <r>
    <x v="2397"/>
    <x v="10"/>
    <x v="1"/>
    <n v="22.1"/>
    <n v="44.2"/>
    <x v="87"/>
    <d v="2025-03-30T00:00:00"/>
    <x v="2"/>
    <x v="4"/>
    <x v="0"/>
    <x v="0"/>
    <x v="11"/>
    <x v="3"/>
    <x v="12"/>
    <x v="2"/>
  </r>
  <r>
    <x v="2398"/>
    <x v="12"/>
    <x v="1"/>
    <n v="31"/>
    <n v="62"/>
    <x v="87"/>
    <d v="2025-03-31T00:00:00"/>
    <x v="2"/>
    <x v="2"/>
    <x v="0"/>
    <x v="0"/>
    <x v="18"/>
    <x v="1"/>
    <x v="12"/>
    <x v="2"/>
  </r>
  <r>
    <x v="2399"/>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40FD30-BCCE-4754-9DB1-88CCD7EA1893}" name="pvtAmt&amp;Q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1:C25" firstHeaderRow="0" firstDataRow="1" firstDataCol="1"/>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Amount" fld="4" baseField="0" baseItem="0"/>
    <dataField name="Sum of Quantity" fld="2" baseField="0" baseItem="0"/>
  </dataFields>
  <formats count="1">
    <format dxfId="11">
      <pivotArea collapsedLevelsAreSubtotals="1" fieldPosition="0">
        <references count="2">
          <reference field="4294967294" count="1" selected="0">
            <x v="0"/>
          </reference>
          <reference field="13" count="0"/>
        </references>
      </pivotArea>
    </format>
  </format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8A8E13-2D28-4A9E-8062-A6B6DF727EBA}" name="pvt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660FE5-57E1-4ED7-BEA2-F624763CB2CB}" name="pvt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1"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2">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AB8744-826A-43E4-A90A-24AB07397FC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5">
  <location ref="L3:M8"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21">
    <chartFormat chart="18" format="0" series="1">
      <pivotArea type="data" outline="0" fieldPosition="0">
        <references count="2">
          <reference field="4294967294" count="1" selected="0">
            <x v="0"/>
          </reference>
          <reference field="14" count="1" selected="0">
            <x v="0"/>
          </reference>
        </references>
      </pivotArea>
    </chartFormat>
    <chartFormat chart="18" format="1" series="1">
      <pivotArea type="data" outline="0" fieldPosition="0">
        <references count="2">
          <reference field="4294967294" count="1" selected="0">
            <x v="0"/>
          </reference>
          <reference field="14" count="1" selected="0">
            <x v="1"/>
          </reference>
        </references>
      </pivotArea>
    </chartFormat>
    <chartFormat chart="18" format="2" series="1">
      <pivotArea type="data" outline="0" fieldPosition="0">
        <references count="2">
          <reference field="4294967294" count="1" selected="0">
            <x v="0"/>
          </reference>
          <reference field="14" count="1" selected="0">
            <x v="2"/>
          </reference>
        </references>
      </pivotArea>
    </chartFormat>
    <chartFormat chart="18" format="3" series="1">
      <pivotArea type="data" outline="0" fieldPosition="0">
        <references count="2">
          <reference field="4294967294" count="1" selected="0">
            <x v="0"/>
          </reference>
          <reference field="14" count="1" selected="0">
            <x v="3"/>
          </reference>
        </references>
      </pivotArea>
    </chartFormat>
    <chartFormat chart="20" format="8" series="1">
      <pivotArea type="data" outline="0" fieldPosition="0">
        <references count="2">
          <reference field="4294967294" count="1" selected="0">
            <x v="0"/>
          </reference>
          <reference field="14" count="1" selected="0">
            <x v="0"/>
          </reference>
        </references>
      </pivotArea>
    </chartFormat>
    <chartFormat chart="20" format="9" series="1">
      <pivotArea type="data" outline="0" fieldPosition="0">
        <references count="2">
          <reference field="4294967294" count="1" selected="0">
            <x v="0"/>
          </reference>
          <reference field="14" count="1" selected="0">
            <x v="1"/>
          </reference>
        </references>
      </pivotArea>
    </chartFormat>
    <chartFormat chart="20" format="10" series="1">
      <pivotArea type="data" outline="0" fieldPosition="0">
        <references count="2">
          <reference field="4294967294" count="1" selected="0">
            <x v="0"/>
          </reference>
          <reference field="14" count="1" selected="0">
            <x v="2"/>
          </reference>
        </references>
      </pivotArea>
    </chartFormat>
    <chartFormat chart="20" format="11" series="1">
      <pivotArea type="data" outline="0" fieldPosition="0">
        <references count="2">
          <reference field="4294967294" count="1" selected="0">
            <x v="0"/>
          </reference>
          <reference field="14" count="1" selected="0">
            <x v="3"/>
          </reference>
        </references>
      </pivotArea>
    </chartFormat>
    <chartFormat chart="38" format="0" series="1">
      <pivotArea type="data" outline="0" fieldPosition="0">
        <references count="2">
          <reference field="4294967294" count="1" selected="0">
            <x v="0"/>
          </reference>
          <reference field="14" count="1" selected="0">
            <x v="0"/>
          </reference>
        </references>
      </pivotArea>
    </chartFormat>
    <chartFormat chart="38" format="1" series="1">
      <pivotArea type="data" outline="0" fieldPosition="0">
        <references count="2">
          <reference field="4294967294" count="1" selected="0">
            <x v="0"/>
          </reference>
          <reference field="14" count="1" selected="0">
            <x v="1"/>
          </reference>
        </references>
      </pivotArea>
    </chartFormat>
    <chartFormat chart="38" format="2" series="1">
      <pivotArea type="data" outline="0" fieldPosition="0">
        <references count="2">
          <reference field="4294967294" count="1" selected="0">
            <x v="0"/>
          </reference>
          <reference field="14" count="1" selected="0">
            <x v="2"/>
          </reference>
        </references>
      </pivotArea>
    </chartFormat>
    <chartFormat chart="38" format="3" series="1">
      <pivotArea type="data" outline="0" fieldPosition="0">
        <references count="2">
          <reference field="4294967294" count="1" selected="0">
            <x v="0"/>
          </reference>
          <reference field="14" count="1" selected="0">
            <x v="3"/>
          </reference>
        </references>
      </pivotArea>
    </chartFormat>
    <chartFormat chart="41" format="8" series="1">
      <pivotArea type="data" outline="0" fieldPosition="0">
        <references count="2">
          <reference field="4294967294" count="1" selected="0">
            <x v="0"/>
          </reference>
          <reference field="14" count="1" selected="0">
            <x v="0"/>
          </reference>
        </references>
      </pivotArea>
    </chartFormat>
    <chartFormat chart="41" format="9" series="1">
      <pivotArea type="data" outline="0" fieldPosition="0">
        <references count="2">
          <reference field="4294967294" count="1" selected="0">
            <x v="0"/>
          </reference>
          <reference field="14" count="1" selected="0">
            <x v="1"/>
          </reference>
        </references>
      </pivotArea>
    </chartFormat>
    <chartFormat chart="41" format="10" series="1">
      <pivotArea type="data" outline="0" fieldPosition="0">
        <references count="2">
          <reference field="4294967294" count="1" selected="0">
            <x v="0"/>
          </reference>
          <reference field="14" count="1" selected="0">
            <x v="2"/>
          </reference>
        </references>
      </pivotArea>
    </chartFormat>
    <chartFormat chart="41" format="11" series="1">
      <pivotArea type="data" outline="0" fieldPosition="0">
        <references count="2">
          <reference field="4294967294" count="1" selected="0">
            <x v="0"/>
          </reference>
          <reference field="14" count="1" selected="0">
            <x v="3"/>
          </reference>
        </references>
      </pivotArea>
    </chartFormat>
    <chartFormat chart="52" format="6" series="1">
      <pivotArea type="data" outline="0" fieldPosition="0">
        <references count="1">
          <reference field="4294967294" count="1" selected="0">
            <x v="0"/>
          </reference>
        </references>
      </pivotArea>
    </chartFormat>
    <chartFormat chart="52" format="7">
      <pivotArea type="data" outline="0" fieldPosition="0">
        <references count="2">
          <reference field="4294967294" count="1" selected="0">
            <x v="0"/>
          </reference>
          <reference field="14" count="1" selected="0">
            <x v="0"/>
          </reference>
        </references>
      </pivotArea>
    </chartFormat>
    <chartFormat chart="52" format="8">
      <pivotArea type="data" outline="0" fieldPosition="0">
        <references count="2">
          <reference field="4294967294" count="1" selected="0">
            <x v="0"/>
          </reference>
          <reference field="14" count="1" selected="0">
            <x v="1"/>
          </reference>
        </references>
      </pivotArea>
    </chartFormat>
    <chartFormat chart="52" format="9">
      <pivotArea type="data" outline="0" fieldPosition="0">
        <references count="2">
          <reference field="4294967294" count="1" selected="0">
            <x v="0"/>
          </reference>
          <reference field="14" count="1" selected="0">
            <x v="2"/>
          </reference>
        </references>
      </pivotArea>
    </chartFormat>
    <chartFormat chart="52"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F91232-04C5-4699-87FF-78E4FCDFCD0D}" name="pvtPopula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3:F25"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4">
    <chartFormat chart="41" format="8" series="1">
      <pivotArea type="data" outline="0" fieldPosition="0">
        <references count="2">
          <reference field="4294967294" count="1" selected="0">
            <x v="0"/>
          </reference>
          <reference field="14" count="1" selected="0">
            <x v="0"/>
          </reference>
        </references>
      </pivotArea>
    </chartFormat>
    <chartFormat chart="41" format="9" series="1">
      <pivotArea type="data" outline="0" fieldPosition="0">
        <references count="2">
          <reference field="4294967294" count="1" selected="0">
            <x v="0"/>
          </reference>
          <reference field="14" count="1" selected="0">
            <x v="1"/>
          </reference>
        </references>
      </pivotArea>
    </chartFormat>
    <chartFormat chart="41" format="10" series="1">
      <pivotArea type="data" outline="0" fieldPosition="0">
        <references count="2">
          <reference field="4294967294" count="1" selected="0">
            <x v="0"/>
          </reference>
          <reference field="14" count="1" selected="0">
            <x v="2"/>
          </reference>
        </references>
      </pivotArea>
    </chartFormat>
    <chartFormat chart="41"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7F621A-C572-4C00-BC36-C6EFD3AB65A1}" name="pvtGeography"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63" firstHeaderRow="0" firstDataRow="1" firstDataCol="2"/>
  <pivotFields count="18">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numFmtId="15"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extLst>
        <ext xmlns:x14="http://schemas.microsoft.com/office/spreadsheetml/2009/9/main" uri="{2946ED86-A175-432a-8AC1-64E0C546D7DE}">
          <x14:pivotField fillDownLabels="1"/>
        </ext>
      </extLst>
    </pivotField>
    <pivotField compact="0" numFmtId="15"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6">
        <item x="0"/>
        <item x="3"/>
        <item x="4"/>
        <item x="2"/>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2">
        <item x="0"/>
        <item t="default"/>
      </items>
      <extLst>
        <ext xmlns:x14="http://schemas.microsoft.com/office/spreadsheetml/2009/9/main" uri="{2946ED86-A175-432a-8AC1-64E0C546D7DE}">
          <x14:pivotField fillDownLabels="1"/>
        </ext>
      </extLst>
    </pivotField>
    <pivotField axis="axisRow" compact="0" outline="0"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
        <item x="2"/>
        <item x="1"/>
        <item x="3"/>
        <item x="0"/>
        <item t="default"/>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s>
  <rowFields count="2">
    <field x="10"/>
    <field x="11"/>
  </rowFields>
  <rowItems count="60">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t="default">
      <x/>
    </i>
    <i t="grand">
      <x/>
    </i>
  </rowItems>
  <colFields count="1">
    <field x="-2"/>
  </colFields>
  <colItems count="2">
    <i>
      <x/>
    </i>
    <i i="1">
      <x v="1"/>
    </i>
  </colItems>
  <dataFields count="2">
    <dataField name="Sum of Amount" fld="4" baseField="0" baseItem="0"/>
    <dataField name="Sum of Quanti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2F2B7B-1CC2-492B-A231-ABA869572E64}" name="pvt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3:G28"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5">
    <chartFormat chart="5" format="13" series="1">
      <pivotArea type="data" outline="0" fieldPosition="0">
        <references count="2">
          <reference field="4294967294" count="1" selected="0">
            <x v="0"/>
          </reference>
          <reference field="9" count="1" selected="0">
            <x v="0"/>
          </reference>
        </references>
      </pivotArea>
    </chartFormat>
    <chartFormat chart="5" format="14" series="1">
      <pivotArea type="data" outline="0" fieldPosition="0">
        <references count="2">
          <reference field="4294967294" count="1" selected="0">
            <x v="0"/>
          </reference>
          <reference field="9" count="1" selected="0">
            <x v="1"/>
          </reference>
        </references>
      </pivotArea>
    </chartFormat>
    <chartFormat chart="5" format="15" series="1">
      <pivotArea type="data" outline="0" fieldPosition="0">
        <references count="2">
          <reference field="4294967294" count="1" selected="0">
            <x v="0"/>
          </reference>
          <reference field="9" count="1" selected="0">
            <x v="2"/>
          </reference>
        </references>
      </pivotArea>
    </chartFormat>
    <chartFormat chart="5" format="16" series="1">
      <pivotArea type="data" outline="0" fieldPosition="0">
        <references count="2">
          <reference field="4294967294" count="1" selected="0">
            <x v="0"/>
          </reference>
          <reference field="9" count="1" selected="0">
            <x v="3"/>
          </reference>
        </references>
      </pivotArea>
    </chartFormat>
    <chartFormat chart="5"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0A10220-20E4-481B-9E54-F7C2DE2493CC}" name="pvtDeliveryDat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9"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E5EFEE8-2DCB-4329-AD12-88FBAAF196E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85540259-B64F-4628-B96D-0B4380D2CFBF}" sourceName="Order Mode">
  <pivotTables>
    <pivotTable tabId="11" name="pvtOrders"/>
    <pivotTable tabId="14" name="pvtDeliveryDates"/>
    <pivotTable tabId="14" name="pvtRating"/>
    <pivotTable tabId="13" name="pvtGeography"/>
    <pivotTable tabId="5" name="pvtAmt&amp;Qty"/>
    <pivotTable tabId="5" name="pvtSummary"/>
    <pivotTable tabId="12" name="pvtPopular"/>
  </pivotTables>
  <data>
    <tabular pivotCacheId="1086805795">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C1E76ED6-2DA0-43DF-B670-DFD02741F1D6}" sourceName="Gender Value">
  <pivotTables>
    <pivotTable tabId="11" name="pvtOrders"/>
    <pivotTable tabId="14" name="pvtDeliveryDates"/>
    <pivotTable tabId="14" name="pvtRating"/>
    <pivotTable tabId="13" name="pvtGeography"/>
    <pivotTable tabId="5" name="pvtAmt&amp;Qty"/>
    <pivotTable tabId="5" name="pvtSummary"/>
    <pivotTable tabId="12" name="pvtPopular"/>
  </pivotTables>
  <data>
    <tabular pivotCacheId="1086805795">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BE74121A-7B77-4E4A-B3E1-B66172EDA9FE}" cache="Slicer_Order_Mode" caption="Order Mode" style="SlicerStyleLight6" rowHeight="247650"/>
  <slicer name="Gender Value" xr10:uid="{5977CA10-2A9B-489C-8B7F-E338756AE115}" cache="Slicer_Gender_Value" caption="Gender Value" style="SlicerStyleOther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autoFilter ref="A1:O2401" xr:uid="{32EEAC7A-86FC-461F-9D5F-511044F2AF9D}"/>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10"/>
    <tableColumn id="7" xr3:uid="{43BB5DBF-46E1-4185-80C0-4361F55A385C}" name="Ship Date" dataDxfId="9"/>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8">
      <calculatedColumnFormula>orders[[#This Row],[Ship Date]]-orders[[#This Row],[Order Date]]</calculatedColumnFormula>
    </tableColumn>
    <tableColumn id="12" xr3:uid="{B071C0DA-87A9-4516-B4D9-4F5B7D3FF44A}" name="Weeknum" dataDxfId="7">
      <calculatedColumnFormula>WEEKNUM(orders[[#This Row],[Order Date]])</calculatedColumnFormula>
    </tableColumn>
    <tableColumn id="13" xr3:uid="{B8EA9E28-7541-4E76-9935-C26438661A18}" name="Gender Value" dataDxfId="6">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chandoo.org/wp/excel-school-program/" TargetMode="External"/><Relationship Id="rId1" Type="http://schemas.openxmlformats.org/officeDocument/2006/relationships/hyperlink" Target="https://youtu.be/l5qkg8gzY6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D5FD9-7177-4FA2-9C1B-B04F2AFE03DA}">
  <dimension ref="A1"/>
  <sheetViews>
    <sheetView showGridLines="0" tabSelected="1" zoomScaleNormal="100" workbookViewId="0">
      <selection activeCell="AC40" sqref="AC40"/>
    </sheetView>
  </sheetViews>
  <sheetFormatPr defaultRowHeight="14.4" x14ac:dyDescent="0.3"/>
  <cols>
    <col min="1" max="1" width="3.88671875" customWidth="1"/>
    <col min="2" max="2" width="16" customWidth="1"/>
    <col min="3" max="3" width="3.8867187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B11" sqref="B11:B18"/>
    </sheetView>
  </sheetViews>
  <sheetFormatPr defaultRowHeight="14.4" x14ac:dyDescent="0.3"/>
  <cols>
    <col min="1" max="1" width="3.6640625" customWidth="1"/>
    <col min="2" max="2" width="52.77734375" customWidth="1"/>
  </cols>
  <sheetData>
    <row r="2" spans="2:2" x14ac:dyDescent="0.3">
      <c r="B2" s="3" t="s">
        <v>2503</v>
      </c>
    </row>
    <row r="3" spans="2:2" x14ac:dyDescent="0.3">
      <c r="B3" s="4" t="s">
        <v>2504</v>
      </c>
    </row>
    <row r="4" spans="2:2" x14ac:dyDescent="0.3">
      <c r="B4" s="4" t="s">
        <v>2505</v>
      </c>
    </row>
    <row r="5" spans="2:2" x14ac:dyDescent="0.3">
      <c r="B5" s="4" t="s">
        <v>2506</v>
      </c>
    </row>
    <row r="6" spans="2:2" x14ac:dyDescent="0.3">
      <c r="B6" s="4" t="s">
        <v>2507</v>
      </c>
    </row>
    <row r="7" spans="2:2" x14ac:dyDescent="0.3">
      <c r="B7" s="4" t="s">
        <v>2508</v>
      </c>
    </row>
    <row r="10" spans="2:2" x14ac:dyDescent="0.3">
      <c r="B10" s="3" t="s">
        <v>2509</v>
      </c>
    </row>
    <row r="11" spans="2:2" x14ac:dyDescent="0.3">
      <c r="B11" t="s">
        <v>2510</v>
      </c>
    </row>
    <row r="12" spans="2:2" x14ac:dyDescent="0.3">
      <c r="B12" t="s">
        <v>2511</v>
      </c>
    </row>
    <row r="13" spans="2:2" x14ac:dyDescent="0.3">
      <c r="B13" t="s">
        <v>2512</v>
      </c>
    </row>
    <row r="14" spans="2:2" x14ac:dyDescent="0.3">
      <c r="B14" t="s">
        <v>2513</v>
      </c>
    </row>
    <row r="15" spans="2:2" x14ac:dyDescent="0.3">
      <c r="B15" t="s">
        <v>2514</v>
      </c>
    </row>
    <row r="16" spans="2:2" x14ac:dyDescent="0.3">
      <c r="B16" t="s">
        <v>2515</v>
      </c>
    </row>
    <row r="17" spans="2:2" x14ac:dyDescent="0.3">
      <c r="B17" t="s">
        <v>2516</v>
      </c>
    </row>
    <row r="18" spans="2:2" x14ac:dyDescent="0.3">
      <c r="B18" t="s">
        <v>2517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02D48-0CAA-47F3-8F52-22D27F0DB5CE}">
  <dimension ref="A2:K25"/>
  <sheetViews>
    <sheetView workbookViewId="0">
      <selection activeCell="A16" sqref="A16"/>
    </sheetView>
  </sheetViews>
  <sheetFormatPr defaultRowHeight="14.4" x14ac:dyDescent="0.3"/>
  <cols>
    <col min="1" max="1" width="12.21875" bestFit="1" customWidth="1"/>
    <col min="2" max="2" width="14.21875" bestFit="1" customWidth="1"/>
    <col min="3" max="3" width="13.5546875" bestFit="1" customWidth="1"/>
    <col min="4" max="4" width="16.6640625" bestFit="1" customWidth="1"/>
    <col min="5" max="5" width="22.33203125" bestFit="1" customWidth="1"/>
  </cols>
  <sheetData>
    <row r="2" spans="1:11" x14ac:dyDescent="0.3">
      <c r="G2" t="s">
        <v>2559</v>
      </c>
    </row>
    <row r="3" spans="1:11" x14ac:dyDescent="0.3">
      <c r="A3" t="s">
        <v>2554</v>
      </c>
      <c r="B3" t="s">
        <v>2555</v>
      </c>
      <c r="C3" t="s">
        <v>2556</v>
      </c>
      <c r="D3" t="s">
        <v>2557</v>
      </c>
      <c r="E3" t="s">
        <v>2558</v>
      </c>
      <c r="G3" t="s">
        <v>2538</v>
      </c>
      <c r="H3" t="s">
        <v>2560</v>
      </c>
      <c r="I3" t="s">
        <v>4</v>
      </c>
      <c r="J3" t="s">
        <v>2561</v>
      </c>
      <c r="K3" t="s">
        <v>2562</v>
      </c>
    </row>
    <row r="4" spans="1:11" x14ac:dyDescent="0.3">
      <c r="A4" s="24">
        <v>2400</v>
      </c>
      <c r="B4" s="24">
        <v>11997</v>
      </c>
      <c r="C4" s="24">
        <v>649019.80000000144</v>
      </c>
      <c r="D4" s="24">
        <v>3.9620833333333332</v>
      </c>
      <c r="E4" s="24">
        <v>2.3424999999999998</v>
      </c>
      <c r="G4" t="str">
        <f>TEXT(A4,"#,##")</f>
        <v>2,400</v>
      </c>
      <c r="H4" t="str">
        <f t="shared" ref="H4" si="0">TEXT(B4,"#,##")</f>
        <v>11,997</v>
      </c>
      <c r="I4" t="str">
        <f>TEXT(C4,"$###,.0k")</f>
        <v>$649.0k</v>
      </c>
      <c r="J4" t="str">
        <f>TEXT(D4,"0.0")</f>
        <v>4.0</v>
      </c>
      <c r="K4" t="str">
        <f>TEXT(E4,"0.0")</f>
        <v>2.3</v>
      </c>
    </row>
    <row r="10" spans="1:11" x14ac:dyDescent="0.3">
      <c r="A10" s="14" t="s">
        <v>2563</v>
      </c>
    </row>
    <row r="11" spans="1:11" x14ac:dyDescent="0.3">
      <c r="A11" s="12" t="s">
        <v>2552</v>
      </c>
      <c r="B11" t="s">
        <v>2556</v>
      </c>
      <c r="C11" t="s">
        <v>2555</v>
      </c>
    </row>
    <row r="12" spans="1:11" x14ac:dyDescent="0.3">
      <c r="A12" s="13">
        <v>1</v>
      </c>
      <c r="B12" s="15">
        <v>32413.300000000003</v>
      </c>
      <c r="C12" s="24">
        <v>546</v>
      </c>
    </row>
    <row r="13" spans="1:11" x14ac:dyDescent="0.3">
      <c r="A13" s="13">
        <v>2</v>
      </c>
      <c r="B13" s="15">
        <v>49562.999999999993</v>
      </c>
      <c r="C13" s="24">
        <v>905</v>
      </c>
    </row>
    <row r="14" spans="1:11" x14ac:dyDescent="0.3">
      <c r="A14" s="13">
        <v>3</v>
      </c>
      <c r="B14" s="15">
        <v>41700.400000000016</v>
      </c>
      <c r="C14" s="24">
        <v>796</v>
      </c>
    </row>
    <row r="15" spans="1:11" x14ac:dyDescent="0.3">
      <c r="A15" s="13">
        <v>4</v>
      </c>
      <c r="B15" s="15">
        <v>46782.599999999984</v>
      </c>
      <c r="C15" s="24">
        <v>913</v>
      </c>
    </row>
    <row r="16" spans="1:11" x14ac:dyDescent="0.3">
      <c r="A16" s="13">
        <v>5</v>
      </c>
      <c r="B16" s="15">
        <v>42676.100000000006</v>
      </c>
      <c r="C16" s="24">
        <v>844</v>
      </c>
    </row>
    <row r="17" spans="1:3" x14ac:dyDescent="0.3">
      <c r="A17" s="13">
        <v>6</v>
      </c>
      <c r="B17" s="15">
        <v>62910.7</v>
      </c>
      <c r="C17" s="24">
        <v>1202</v>
      </c>
    </row>
    <row r="18" spans="1:3" x14ac:dyDescent="0.3">
      <c r="A18" s="13">
        <v>7</v>
      </c>
      <c r="B18" s="15">
        <v>50332.200000000004</v>
      </c>
      <c r="C18" s="24">
        <v>935</v>
      </c>
    </row>
    <row r="19" spans="1:3" x14ac:dyDescent="0.3">
      <c r="A19" s="13">
        <v>8</v>
      </c>
      <c r="B19" s="15">
        <v>58760.599999999977</v>
      </c>
      <c r="C19" s="24">
        <v>1128</v>
      </c>
    </row>
    <row r="20" spans="1:3" x14ac:dyDescent="0.3">
      <c r="A20" s="13">
        <v>9</v>
      </c>
      <c r="B20" s="15">
        <v>52017.299999999996</v>
      </c>
      <c r="C20" s="24">
        <v>1007</v>
      </c>
    </row>
    <row r="21" spans="1:3" x14ac:dyDescent="0.3">
      <c r="A21" s="13">
        <v>10</v>
      </c>
      <c r="B21" s="15">
        <v>64915.700000000033</v>
      </c>
      <c r="C21" s="24">
        <v>1128</v>
      </c>
    </row>
    <row r="22" spans="1:3" x14ac:dyDescent="0.3">
      <c r="A22" s="13">
        <v>11</v>
      </c>
      <c r="B22" s="15">
        <v>45943.80000000001</v>
      </c>
      <c r="C22" s="24">
        <v>861</v>
      </c>
    </row>
    <row r="23" spans="1:3" x14ac:dyDescent="0.3">
      <c r="A23" s="13">
        <v>12</v>
      </c>
      <c r="B23" s="15">
        <v>55077.900000000031</v>
      </c>
      <c r="C23" s="24">
        <v>944</v>
      </c>
    </row>
    <row r="24" spans="1:3" x14ac:dyDescent="0.3">
      <c r="A24" s="13">
        <v>13</v>
      </c>
      <c r="B24" s="15">
        <v>45926.19999999999</v>
      </c>
      <c r="C24" s="24">
        <v>788</v>
      </c>
    </row>
    <row r="25" spans="1:3" x14ac:dyDescent="0.3">
      <c r="A25" s="13" t="s">
        <v>2553</v>
      </c>
      <c r="B25" s="24">
        <v>649019.79999999993</v>
      </c>
      <c r="C25" s="24">
        <v>11997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Q2401"/>
  <sheetViews>
    <sheetView workbookViewId="0">
      <selection activeCell="I1" sqref="I1"/>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7" x14ac:dyDescent="0.3">
      <c r="A1" t="s">
        <v>0</v>
      </c>
      <c r="B1" t="s">
        <v>1</v>
      </c>
      <c r="C1" t="s">
        <v>2</v>
      </c>
      <c r="D1" t="s">
        <v>3</v>
      </c>
      <c r="E1" t="s">
        <v>4</v>
      </c>
      <c r="F1" t="s">
        <v>5</v>
      </c>
      <c r="G1" t="s">
        <v>6</v>
      </c>
      <c r="H1" t="s">
        <v>7</v>
      </c>
      <c r="I1" t="s">
        <v>8</v>
      </c>
      <c r="J1" t="s">
        <v>9</v>
      </c>
      <c r="K1" t="s">
        <v>10</v>
      </c>
      <c r="L1" t="s">
        <v>11</v>
      </c>
      <c r="M1" s="2" t="s">
        <v>12</v>
      </c>
      <c r="N1" s="2" t="s">
        <v>13</v>
      </c>
      <c r="O1" s="2" t="s">
        <v>14</v>
      </c>
    </row>
    <row r="2" spans="1:17"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c r="Q2" t="str" cm="1">
        <f t="array" ref="Q2">_xlfn.IFS(orders[[#This Row],[Customer Gender]]="M","Male",orders[[#This Row],[Customer Gender]]="F","Female",orders[[#This Row],[Customer Gender]]="O","Other",TRUE,"Unknown")</f>
        <v>Unknown</v>
      </c>
    </row>
    <row r="3" spans="1:17"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c r="Q3" t="str" cm="1">
        <f t="array" ref="Q3">_xlfn.IFS(orders[[#This Row],[Customer Gender]]="M","Male",orders[[#This Row],[Customer Gender]]="F","Female",orders[[#This Row],[Customer Gender]]="O","Other",TRUE,"Unknown")</f>
        <v>Male</v>
      </c>
    </row>
    <row r="4" spans="1:17"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7"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7"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7"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7"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7"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7"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7"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7"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7"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7"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7"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7"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CB2FA-6680-45A6-9750-BF0CE14D7F7F}">
  <dimension ref="A3:B11"/>
  <sheetViews>
    <sheetView workbookViewId="0">
      <selection activeCell="A8" sqref="A4:A10"/>
      <pivotSelection pane="bottomRight" showHeader="1" axis="axisRow" activeRow="7" previousRow="7" click="1" r:id="rId1">
        <pivotArea dataOnly="0" labelOnly="1" fieldPosition="0">
          <references count="1">
            <reference field="15" count="0"/>
          </references>
        </pivotArea>
      </pivotSelection>
    </sheetView>
  </sheetViews>
  <sheetFormatPr defaultRowHeight="14.4" x14ac:dyDescent="0.3"/>
  <cols>
    <col min="1" max="1" width="12.44140625" bestFit="1" customWidth="1"/>
    <col min="2" max="2" width="12.21875" bestFit="1" customWidth="1"/>
  </cols>
  <sheetData>
    <row r="3" spans="1:2" x14ac:dyDescent="0.3">
      <c r="A3" s="12" t="s">
        <v>2552</v>
      </c>
      <c r="B3" t="s">
        <v>2554</v>
      </c>
    </row>
    <row r="4" spans="1:2" x14ac:dyDescent="0.3">
      <c r="A4" s="13">
        <v>1</v>
      </c>
      <c r="B4" s="24">
        <v>397</v>
      </c>
    </row>
    <row r="5" spans="1:2" x14ac:dyDescent="0.3">
      <c r="A5" s="13">
        <v>2</v>
      </c>
      <c r="B5" s="24">
        <v>540</v>
      </c>
    </row>
    <row r="6" spans="1:2" x14ac:dyDescent="0.3">
      <c r="A6" s="13">
        <v>3</v>
      </c>
      <c r="B6" s="24">
        <v>375</v>
      </c>
    </row>
    <row r="7" spans="1:2" x14ac:dyDescent="0.3">
      <c r="A7" s="13">
        <v>4</v>
      </c>
      <c r="B7" s="24">
        <v>246</v>
      </c>
    </row>
    <row r="8" spans="1:2" x14ac:dyDescent="0.3">
      <c r="A8" s="13">
        <v>5</v>
      </c>
      <c r="B8" s="24">
        <v>195</v>
      </c>
    </row>
    <row r="9" spans="1:2" x14ac:dyDescent="0.3">
      <c r="A9" s="13" t="s">
        <v>2570</v>
      </c>
      <c r="B9" s="24">
        <v>414</v>
      </c>
    </row>
    <row r="10" spans="1:2" x14ac:dyDescent="0.3">
      <c r="A10" s="13" t="s">
        <v>2571</v>
      </c>
      <c r="B10" s="24">
        <v>233</v>
      </c>
    </row>
    <row r="11" spans="1:2" x14ac:dyDescent="0.3">
      <c r="A11" s="13" t="s">
        <v>2553</v>
      </c>
      <c r="B11" s="24">
        <v>2400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65B0E-CF07-4BA8-8D44-31F7D2C45916}">
  <dimension ref="A3:M25"/>
  <sheetViews>
    <sheetView workbookViewId="0">
      <selection activeCell="A6" sqref="A5:A24"/>
      <pivotSelection pane="bottomRight" showHeader="1" axis="axisRow" activeRow="5" previousRow="5" click="1" r:id="rId2">
        <pivotArea dataOnly="0" labelOnly="1" fieldPosition="0">
          <references count="1">
            <reference field="1" count="0"/>
          </references>
        </pivotArea>
      </pivotSelection>
    </sheetView>
  </sheetViews>
  <sheetFormatPr defaultColWidth="11.5546875" defaultRowHeight="14.4" x14ac:dyDescent="0.3"/>
  <cols>
    <col min="1" max="1" width="19.109375" bestFit="1" customWidth="1"/>
    <col min="2" max="2" width="15.5546875" bestFit="1" customWidth="1"/>
    <col min="3" max="3" width="5" bestFit="1" customWidth="1"/>
    <col min="4" max="4" width="5.6640625" bestFit="1" customWidth="1"/>
    <col min="5" max="5" width="8.5546875" bestFit="1" customWidth="1"/>
    <col min="6" max="6" width="10.5546875" bestFit="1" customWidth="1"/>
    <col min="12" max="12" width="12.44140625" bestFit="1" customWidth="1"/>
    <col min="13" max="13" width="14.21875" bestFit="1" customWidth="1"/>
    <col min="14" max="14" width="5" bestFit="1" customWidth="1"/>
    <col min="15" max="15" width="5.6640625" bestFit="1" customWidth="1"/>
    <col min="16" max="16" width="8.5546875" bestFit="1" customWidth="1"/>
    <col min="17" max="17" width="10.5546875" bestFit="1" customWidth="1"/>
  </cols>
  <sheetData>
    <row r="3" spans="1:13" x14ac:dyDescent="0.3">
      <c r="A3" s="12" t="s">
        <v>2555</v>
      </c>
      <c r="B3" s="12" t="s">
        <v>2568</v>
      </c>
      <c r="L3" s="12" t="s">
        <v>2552</v>
      </c>
      <c r="M3" t="s">
        <v>2555</v>
      </c>
    </row>
    <row r="4" spans="1:13" x14ac:dyDescent="0.3">
      <c r="A4" s="12" t="s">
        <v>2552</v>
      </c>
      <c r="B4" t="s">
        <v>2566</v>
      </c>
      <c r="C4" t="s">
        <v>2565</v>
      </c>
      <c r="D4" t="s">
        <v>2567</v>
      </c>
      <c r="E4" t="s">
        <v>2564</v>
      </c>
      <c r="F4" t="s">
        <v>2553</v>
      </c>
      <c r="L4" s="13" t="s">
        <v>2566</v>
      </c>
      <c r="M4">
        <v>6272</v>
      </c>
    </row>
    <row r="5" spans="1:13" x14ac:dyDescent="0.3">
      <c r="A5" s="13" t="s">
        <v>44</v>
      </c>
      <c r="B5" s="24">
        <v>744</v>
      </c>
      <c r="C5" s="24">
        <v>713</v>
      </c>
      <c r="D5" s="24">
        <v>90</v>
      </c>
      <c r="E5" s="24">
        <v>98</v>
      </c>
      <c r="F5" s="24">
        <v>1645</v>
      </c>
      <c r="L5" s="13" t="s">
        <v>2565</v>
      </c>
      <c r="M5">
        <v>4672</v>
      </c>
    </row>
    <row r="6" spans="1:13" x14ac:dyDescent="0.3">
      <c r="A6" s="13" t="s">
        <v>39</v>
      </c>
      <c r="B6" s="24">
        <v>716</v>
      </c>
      <c r="C6" s="24">
        <v>598</v>
      </c>
      <c r="D6" s="24">
        <v>18</v>
      </c>
      <c r="E6" s="24">
        <v>214</v>
      </c>
      <c r="F6" s="24">
        <v>1546</v>
      </c>
      <c r="L6" s="13" t="s">
        <v>2567</v>
      </c>
      <c r="M6">
        <v>317</v>
      </c>
    </row>
    <row r="7" spans="1:13" x14ac:dyDescent="0.3">
      <c r="A7" s="13" t="s">
        <v>26</v>
      </c>
      <c r="B7" s="24">
        <v>627</v>
      </c>
      <c r="C7" s="24">
        <v>393</v>
      </c>
      <c r="D7" s="24">
        <v>29</v>
      </c>
      <c r="E7" s="24">
        <v>137</v>
      </c>
      <c r="F7" s="24">
        <v>1186</v>
      </c>
      <c r="L7" s="13" t="s">
        <v>2564</v>
      </c>
      <c r="M7">
        <v>736</v>
      </c>
    </row>
    <row r="8" spans="1:13" x14ac:dyDescent="0.3">
      <c r="A8" s="13" t="s">
        <v>22</v>
      </c>
      <c r="B8" s="24">
        <v>568</v>
      </c>
      <c r="C8" s="24">
        <v>306</v>
      </c>
      <c r="D8" s="24">
        <v>22</v>
      </c>
      <c r="E8" s="24">
        <v>16</v>
      </c>
      <c r="F8" s="24">
        <v>912</v>
      </c>
      <c r="L8" s="13" t="s">
        <v>2553</v>
      </c>
      <c r="M8">
        <v>11997</v>
      </c>
    </row>
    <row r="9" spans="1:13" x14ac:dyDescent="0.3">
      <c r="A9" s="13" t="s">
        <v>54</v>
      </c>
      <c r="B9" s="24">
        <v>482</v>
      </c>
      <c r="C9" s="24">
        <v>295</v>
      </c>
      <c r="D9" s="24">
        <v>8</v>
      </c>
      <c r="E9" s="24">
        <v>22</v>
      </c>
      <c r="F9" s="24">
        <v>807</v>
      </c>
    </row>
    <row r="10" spans="1:13" x14ac:dyDescent="0.3">
      <c r="A10" s="13" t="s">
        <v>16</v>
      </c>
      <c r="B10" s="24">
        <v>428</v>
      </c>
      <c r="C10" s="24">
        <v>293</v>
      </c>
      <c r="D10" s="24"/>
      <c r="E10" s="24">
        <v>24</v>
      </c>
      <c r="F10" s="24">
        <v>745</v>
      </c>
    </row>
    <row r="11" spans="1:13" x14ac:dyDescent="0.3">
      <c r="A11" s="13" t="s">
        <v>46</v>
      </c>
      <c r="B11" s="24">
        <v>445</v>
      </c>
      <c r="C11" s="24">
        <v>202</v>
      </c>
      <c r="D11" s="24">
        <v>14</v>
      </c>
      <c r="E11" s="24">
        <v>39</v>
      </c>
      <c r="F11" s="24">
        <v>700</v>
      </c>
    </row>
    <row r="12" spans="1:13" x14ac:dyDescent="0.3">
      <c r="A12" s="13" t="s">
        <v>32</v>
      </c>
      <c r="B12" s="24">
        <v>431</v>
      </c>
      <c r="C12" s="24">
        <v>187</v>
      </c>
      <c r="D12" s="24">
        <v>14</v>
      </c>
      <c r="E12" s="24">
        <v>15</v>
      </c>
      <c r="F12" s="24">
        <v>647</v>
      </c>
    </row>
    <row r="13" spans="1:13" x14ac:dyDescent="0.3">
      <c r="A13" s="13" t="s">
        <v>42</v>
      </c>
      <c r="B13" s="24">
        <v>264</v>
      </c>
      <c r="C13" s="24">
        <v>318</v>
      </c>
      <c r="D13" s="24">
        <v>15</v>
      </c>
      <c r="E13" s="24">
        <v>9</v>
      </c>
      <c r="F13" s="24">
        <v>606</v>
      </c>
    </row>
    <row r="14" spans="1:13" x14ac:dyDescent="0.3">
      <c r="A14" s="13" t="s">
        <v>37</v>
      </c>
      <c r="B14" s="24">
        <v>296</v>
      </c>
      <c r="C14" s="24">
        <v>275</v>
      </c>
      <c r="D14" s="24">
        <v>9</v>
      </c>
      <c r="E14" s="24">
        <v>23</v>
      </c>
      <c r="F14" s="24">
        <v>603</v>
      </c>
    </row>
    <row r="15" spans="1:13" x14ac:dyDescent="0.3">
      <c r="A15" s="13" t="s">
        <v>123</v>
      </c>
      <c r="B15" s="24">
        <v>153</v>
      </c>
      <c r="C15" s="24">
        <v>246</v>
      </c>
      <c r="D15" s="24">
        <v>30</v>
      </c>
      <c r="E15" s="24">
        <v>8</v>
      </c>
      <c r="F15" s="24">
        <v>437</v>
      </c>
    </row>
    <row r="16" spans="1:13" x14ac:dyDescent="0.3">
      <c r="A16" s="13" t="s">
        <v>146</v>
      </c>
      <c r="B16" s="24">
        <v>189</v>
      </c>
      <c r="C16" s="24">
        <v>168</v>
      </c>
      <c r="D16" s="24">
        <v>10</v>
      </c>
      <c r="E16" s="24">
        <v>31</v>
      </c>
      <c r="F16" s="24">
        <v>398</v>
      </c>
    </row>
    <row r="17" spans="1:6" x14ac:dyDescent="0.3">
      <c r="A17" s="13" t="s">
        <v>69</v>
      </c>
      <c r="B17" s="24">
        <v>234</v>
      </c>
      <c r="C17" s="24">
        <v>93</v>
      </c>
      <c r="D17" s="24">
        <v>19</v>
      </c>
      <c r="E17" s="24">
        <v>24</v>
      </c>
      <c r="F17" s="24">
        <v>370</v>
      </c>
    </row>
    <row r="18" spans="1:6" x14ac:dyDescent="0.3">
      <c r="A18" s="13" t="s">
        <v>30</v>
      </c>
      <c r="B18" s="24">
        <v>146</v>
      </c>
      <c r="C18" s="24">
        <v>94</v>
      </c>
      <c r="D18" s="24">
        <v>4</v>
      </c>
      <c r="E18" s="24">
        <v>28</v>
      </c>
      <c r="F18" s="24">
        <v>272</v>
      </c>
    </row>
    <row r="19" spans="1:6" x14ac:dyDescent="0.3">
      <c r="A19" s="13" t="s">
        <v>135</v>
      </c>
      <c r="B19" s="24">
        <v>127</v>
      </c>
      <c r="C19" s="24">
        <v>118</v>
      </c>
      <c r="D19" s="24">
        <v>13</v>
      </c>
      <c r="E19" s="24">
        <v>12</v>
      </c>
      <c r="F19" s="24">
        <v>270</v>
      </c>
    </row>
    <row r="20" spans="1:6" x14ac:dyDescent="0.3">
      <c r="A20" s="13" t="s">
        <v>67</v>
      </c>
      <c r="B20" s="24">
        <v>179</v>
      </c>
      <c r="C20" s="24">
        <v>76</v>
      </c>
      <c r="D20" s="24">
        <v>3</v>
      </c>
      <c r="E20" s="24"/>
      <c r="F20" s="24">
        <v>258</v>
      </c>
    </row>
    <row r="21" spans="1:6" x14ac:dyDescent="0.3">
      <c r="A21" s="13" t="s">
        <v>128</v>
      </c>
      <c r="B21" s="24">
        <v>99</v>
      </c>
      <c r="C21" s="24">
        <v>69</v>
      </c>
      <c r="D21" s="24">
        <v>3</v>
      </c>
      <c r="E21" s="24">
        <v>24</v>
      </c>
      <c r="F21" s="24">
        <v>195</v>
      </c>
    </row>
    <row r="22" spans="1:6" x14ac:dyDescent="0.3">
      <c r="A22" s="13" t="s">
        <v>76</v>
      </c>
      <c r="B22" s="24">
        <v>75</v>
      </c>
      <c r="C22" s="24">
        <v>103</v>
      </c>
      <c r="D22" s="24">
        <v>4</v>
      </c>
      <c r="E22" s="24">
        <v>6</v>
      </c>
      <c r="F22" s="24">
        <v>188</v>
      </c>
    </row>
    <row r="23" spans="1:6" x14ac:dyDescent="0.3">
      <c r="A23" s="13" t="s">
        <v>81</v>
      </c>
      <c r="B23" s="24">
        <v>43</v>
      </c>
      <c r="C23" s="24">
        <v>90</v>
      </c>
      <c r="D23" s="24">
        <v>8</v>
      </c>
      <c r="E23" s="24">
        <v>6</v>
      </c>
      <c r="F23" s="24">
        <v>147</v>
      </c>
    </row>
    <row r="24" spans="1:6" x14ac:dyDescent="0.3">
      <c r="A24" s="13" t="s">
        <v>171</v>
      </c>
      <c r="B24" s="24">
        <v>26</v>
      </c>
      <c r="C24" s="24">
        <v>35</v>
      </c>
      <c r="D24" s="24">
        <v>4</v>
      </c>
      <c r="E24" s="24"/>
      <c r="F24" s="24">
        <v>65</v>
      </c>
    </row>
    <row r="25" spans="1:6" x14ac:dyDescent="0.3">
      <c r="A25" s="13" t="s">
        <v>2553</v>
      </c>
      <c r="B25" s="24">
        <v>6272</v>
      </c>
      <c r="C25" s="24">
        <v>4672</v>
      </c>
      <c r="D25" s="24">
        <v>317</v>
      </c>
      <c r="E25" s="24">
        <v>736</v>
      </c>
      <c r="F25" s="24">
        <v>11997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3BE12-63CD-4EB2-9FC4-089F9044318E}">
  <dimension ref="A3:M63"/>
  <sheetViews>
    <sheetView workbookViewId="0">
      <selection activeCell="A7" sqref="A7"/>
    </sheetView>
  </sheetViews>
  <sheetFormatPr defaultRowHeight="14.4" x14ac:dyDescent="0.3"/>
  <cols>
    <col min="1" max="1" width="22.77734375" bestFit="1" customWidth="1"/>
    <col min="2" max="2" width="19.6640625" bestFit="1" customWidth="1"/>
    <col min="3" max="3" width="13.5546875" bestFit="1" customWidth="1"/>
    <col min="4" max="4" width="14.21875" bestFit="1" customWidth="1"/>
    <col min="7" max="7" width="13.6640625" bestFit="1" customWidth="1"/>
    <col min="8" max="8" width="19.6640625" bestFit="1" customWidth="1"/>
    <col min="9" max="9" width="13.5546875" bestFit="1" customWidth="1"/>
    <col min="11" max="11" width="13.6640625" bestFit="1" customWidth="1"/>
    <col min="12" max="12" width="19.6640625" bestFit="1" customWidth="1"/>
    <col min="13" max="13" width="14.21875" bestFit="1" customWidth="1"/>
  </cols>
  <sheetData>
    <row r="3" spans="1:13" x14ac:dyDescent="0.3">
      <c r="A3" s="12" t="s">
        <v>10</v>
      </c>
      <c r="B3" s="12" t="s">
        <v>11</v>
      </c>
      <c r="C3" t="s">
        <v>2556</v>
      </c>
      <c r="D3" t="s">
        <v>2555</v>
      </c>
      <c r="G3" t="s">
        <v>2573</v>
      </c>
      <c r="K3" t="s">
        <v>2574</v>
      </c>
    </row>
    <row r="4" spans="1:13" x14ac:dyDescent="0.3">
      <c r="A4" t="s">
        <v>19</v>
      </c>
      <c r="B4" t="s">
        <v>115</v>
      </c>
      <c r="C4" s="24">
        <v>31884.999999999996</v>
      </c>
      <c r="D4" s="24">
        <v>579</v>
      </c>
      <c r="G4" s="20" t="s">
        <v>10</v>
      </c>
      <c r="H4" s="20" t="s">
        <v>11</v>
      </c>
      <c r="I4" s="20" t="s">
        <v>2556</v>
      </c>
      <c r="K4" s="20" t="s">
        <v>10</v>
      </c>
      <c r="L4" s="20" t="s">
        <v>11</v>
      </c>
      <c r="M4" s="20" t="s">
        <v>2555</v>
      </c>
    </row>
    <row r="5" spans="1:13" x14ac:dyDescent="0.3">
      <c r="A5" t="s">
        <v>19</v>
      </c>
      <c r="B5" t="s">
        <v>20</v>
      </c>
      <c r="C5" s="24">
        <v>10.9</v>
      </c>
      <c r="D5" s="24">
        <v>1</v>
      </c>
      <c r="G5" s="21" t="s">
        <v>19</v>
      </c>
      <c r="H5" t="s">
        <v>115</v>
      </c>
      <c r="I5">
        <v>31884.999999999996</v>
      </c>
      <c r="K5" s="21" t="s">
        <v>19</v>
      </c>
      <c r="L5" t="s">
        <v>115</v>
      </c>
      <c r="M5">
        <v>579</v>
      </c>
    </row>
    <row r="6" spans="1:13" x14ac:dyDescent="0.3">
      <c r="A6" t="s">
        <v>19</v>
      </c>
      <c r="B6" t="s">
        <v>641</v>
      </c>
      <c r="C6" s="24">
        <v>800.3</v>
      </c>
      <c r="D6" s="24">
        <v>9</v>
      </c>
      <c r="G6" s="21" t="s">
        <v>19</v>
      </c>
      <c r="H6" t="s">
        <v>20</v>
      </c>
      <c r="I6">
        <v>10.9</v>
      </c>
      <c r="K6" s="21" t="s">
        <v>19</v>
      </c>
      <c r="L6" t="s">
        <v>20</v>
      </c>
      <c r="M6">
        <v>1</v>
      </c>
    </row>
    <row r="7" spans="1:13" x14ac:dyDescent="0.3">
      <c r="A7" t="s">
        <v>19</v>
      </c>
      <c r="B7" t="s">
        <v>967</v>
      </c>
      <c r="C7" s="24">
        <v>1062.5999999999999</v>
      </c>
      <c r="D7" s="24">
        <v>35</v>
      </c>
      <c r="G7" s="21" t="s">
        <v>19</v>
      </c>
      <c r="H7" t="s">
        <v>641</v>
      </c>
      <c r="I7">
        <v>800.3</v>
      </c>
      <c r="K7" s="21" t="s">
        <v>19</v>
      </c>
      <c r="L7" t="s">
        <v>641</v>
      </c>
      <c r="M7">
        <v>9</v>
      </c>
    </row>
    <row r="8" spans="1:13" x14ac:dyDescent="0.3">
      <c r="A8" t="s">
        <v>19</v>
      </c>
      <c r="B8" t="s">
        <v>84</v>
      </c>
      <c r="C8" s="24">
        <v>326.20000000000005</v>
      </c>
      <c r="D8" s="24">
        <v>12</v>
      </c>
      <c r="G8" s="21" t="s">
        <v>19</v>
      </c>
      <c r="H8" t="s">
        <v>967</v>
      </c>
      <c r="I8">
        <v>1062.5999999999999</v>
      </c>
      <c r="K8" s="21" t="s">
        <v>19</v>
      </c>
      <c r="L8" t="s">
        <v>967</v>
      </c>
      <c r="M8">
        <v>35</v>
      </c>
    </row>
    <row r="9" spans="1:13" x14ac:dyDescent="0.3">
      <c r="A9" t="s">
        <v>19</v>
      </c>
      <c r="B9" t="s">
        <v>1383</v>
      </c>
      <c r="C9" s="24">
        <v>167.5</v>
      </c>
      <c r="D9" s="24">
        <v>4</v>
      </c>
      <c r="G9" s="21" t="s">
        <v>19</v>
      </c>
      <c r="H9" t="s">
        <v>84</v>
      </c>
      <c r="I9">
        <v>326.20000000000005</v>
      </c>
      <c r="K9" s="21" t="s">
        <v>19</v>
      </c>
      <c r="L9" t="s">
        <v>84</v>
      </c>
      <c r="M9">
        <v>12</v>
      </c>
    </row>
    <row r="10" spans="1:13" x14ac:dyDescent="0.3">
      <c r="A10" t="s">
        <v>19</v>
      </c>
      <c r="B10" t="s">
        <v>24</v>
      </c>
      <c r="C10" s="24">
        <v>16168.7</v>
      </c>
      <c r="D10" s="24">
        <v>341</v>
      </c>
      <c r="G10" s="21" t="s">
        <v>19</v>
      </c>
      <c r="H10" t="s">
        <v>1383</v>
      </c>
      <c r="I10">
        <v>167.5</v>
      </c>
      <c r="K10" s="21" t="s">
        <v>19</v>
      </c>
      <c r="L10" t="s">
        <v>1383</v>
      </c>
      <c r="M10">
        <v>4</v>
      </c>
    </row>
    <row r="11" spans="1:13" x14ac:dyDescent="0.3">
      <c r="A11" t="s">
        <v>19</v>
      </c>
      <c r="B11" t="s">
        <v>2204</v>
      </c>
      <c r="C11" s="24">
        <v>322.40000000000003</v>
      </c>
      <c r="D11" s="24">
        <v>13</v>
      </c>
      <c r="G11" s="21" t="s">
        <v>19</v>
      </c>
      <c r="H11" t="s">
        <v>24</v>
      </c>
      <c r="I11">
        <v>16168.7</v>
      </c>
      <c r="K11" s="21" t="s">
        <v>19</v>
      </c>
      <c r="L11" t="s">
        <v>24</v>
      </c>
      <c r="M11">
        <v>341</v>
      </c>
    </row>
    <row r="12" spans="1:13" x14ac:dyDescent="0.3">
      <c r="A12" t="s">
        <v>19</v>
      </c>
      <c r="B12" t="s">
        <v>437</v>
      </c>
      <c r="C12" s="24">
        <v>2092.8000000000002</v>
      </c>
      <c r="D12" s="24">
        <v>31</v>
      </c>
      <c r="G12" s="21" t="s">
        <v>19</v>
      </c>
      <c r="H12" t="s">
        <v>2204</v>
      </c>
      <c r="I12">
        <v>322.40000000000003</v>
      </c>
      <c r="K12" s="21" t="s">
        <v>19</v>
      </c>
      <c r="L12" t="s">
        <v>2204</v>
      </c>
      <c r="M12">
        <v>13</v>
      </c>
    </row>
    <row r="13" spans="1:13" x14ac:dyDescent="0.3">
      <c r="A13" t="s">
        <v>19</v>
      </c>
      <c r="B13" t="s">
        <v>28</v>
      </c>
      <c r="C13" s="24">
        <v>12662.500000000002</v>
      </c>
      <c r="D13" s="24">
        <v>279</v>
      </c>
      <c r="G13" s="21" t="s">
        <v>19</v>
      </c>
      <c r="H13" t="s">
        <v>437</v>
      </c>
      <c r="I13">
        <v>2092.8000000000002</v>
      </c>
      <c r="K13" s="21" t="s">
        <v>19</v>
      </c>
      <c r="L13" t="s">
        <v>437</v>
      </c>
      <c r="M13">
        <v>31</v>
      </c>
    </row>
    <row r="14" spans="1:13" x14ac:dyDescent="0.3">
      <c r="A14" t="s">
        <v>19</v>
      </c>
      <c r="B14" t="s">
        <v>208</v>
      </c>
      <c r="C14" s="24">
        <v>343.2</v>
      </c>
      <c r="D14" s="24">
        <v>9</v>
      </c>
      <c r="G14" s="21" t="s">
        <v>19</v>
      </c>
      <c r="H14" t="s">
        <v>28</v>
      </c>
      <c r="I14">
        <v>12662.500000000002</v>
      </c>
      <c r="K14" s="21" t="s">
        <v>19</v>
      </c>
      <c r="L14" t="s">
        <v>28</v>
      </c>
      <c r="M14">
        <v>279</v>
      </c>
    </row>
    <row r="15" spans="1:13" ht="13.2" customHeight="1" x14ac:dyDescent="0.3">
      <c r="A15" t="s">
        <v>19</v>
      </c>
      <c r="B15" t="s">
        <v>587</v>
      </c>
      <c r="C15" s="24">
        <v>2188.2999999999997</v>
      </c>
      <c r="D15" s="24">
        <v>49</v>
      </c>
      <c r="G15" s="21" t="s">
        <v>19</v>
      </c>
      <c r="H15" t="s">
        <v>208</v>
      </c>
      <c r="I15">
        <v>343.2</v>
      </c>
      <c r="K15" s="21" t="s">
        <v>19</v>
      </c>
      <c r="L15" t="s">
        <v>208</v>
      </c>
      <c r="M15">
        <v>9</v>
      </c>
    </row>
    <row r="16" spans="1:13" x14ac:dyDescent="0.3">
      <c r="A16" t="s">
        <v>19</v>
      </c>
      <c r="B16" t="s">
        <v>331</v>
      </c>
      <c r="C16" s="24">
        <v>2661.5999999999995</v>
      </c>
      <c r="D16" s="24">
        <v>59</v>
      </c>
      <c r="G16" s="21" t="s">
        <v>19</v>
      </c>
      <c r="H16" t="s">
        <v>587</v>
      </c>
      <c r="I16">
        <v>2188.2999999999997</v>
      </c>
      <c r="K16" s="21" t="s">
        <v>19</v>
      </c>
      <c r="L16" t="s">
        <v>587</v>
      </c>
      <c r="M16">
        <v>49</v>
      </c>
    </row>
    <row r="17" spans="1:13" x14ac:dyDescent="0.3">
      <c r="A17" t="s">
        <v>19</v>
      </c>
      <c r="B17" t="s">
        <v>86</v>
      </c>
      <c r="C17" s="24">
        <v>887.5</v>
      </c>
      <c r="D17" s="24">
        <v>8</v>
      </c>
      <c r="G17" s="21" t="s">
        <v>19</v>
      </c>
      <c r="H17" t="s">
        <v>331</v>
      </c>
      <c r="I17">
        <v>2661.5999999999995</v>
      </c>
      <c r="K17" s="21" t="s">
        <v>19</v>
      </c>
      <c r="L17" t="s">
        <v>331</v>
      </c>
      <c r="M17">
        <v>59</v>
      </c>
    </row>
    <row r="18" spans="1:13" x14ac:dyDescent="0.3">
      <c r="A18" t="s">
        <v>19</v>
      </c>
      <c r="B18" t="s">
        <v>147</v>
      </c>
      <c r="C18" s="24">
        <v>11354.199999999993</v>
      </c>
      <c r="D18" s="24">
        <v>222</v>
      </c>
      <c r="G18" s="21" t="s">
        <v>19</v>
      </c>
      <c r="H18" t="s">
        <v>86</v>
      </c>
      <c r="I18">
        <v>887.5</v>
      </c>
      <c r="K18" s="21" t="s">
        <v>19</v>
      </c>
      <c r="L18" t="s">
        <v>86</v>
      </c>
      <c r="M18">
        <v>8</v>
      </c>
    </row>
    <row r="19" spans="1:13" x14ac:dyDescent="0.3">
      <c r="A19" t="s">
        <v>19</v>
      </c>
      <c r="B19" t="s">
        <v>334</v>
      </c>
      <c r="C19" s="24">
        <v>1558.4</v>
      </c>
      <c r="D19" s="24">
        <v>36</v>
      </c>
      <c r="G19" s="21" t="s">
        <v>19</v>
      </c>
      <c r="H19" t="s">
        <v>147</v>
      </c>
      <c r="I19">
        <v>11354.199999999993</v>
      </c>
      <c r="K19" s="21" t="s">
        <v>19</v>
      </c>
      <c r="L19" t="s">
        <v>147</v>
      </c>
      <c r="M19">
        <v>222</v>
      </c>
    </row>
    <row r="20" spans="1:13" x14ac:dyDescent="0.3">
      <c r="A20" t="s">
        <v>19</v>
      </c>
      <c r="B20" t="s">
        <v>949</v>
      </c>
      <c r="C20" s="24">
        <v>2223.9</v>
      </c>
      <c r="D20" s="24">
        <v>30</v>
      </c>
      <c r="G20" s="21" t="s">
        <v>19</v>
      </c>
      <c r="H20" t="s">
        <v>334</v>
      </c>
      <c r="I20">
        <v>1558.4</v>
      </c>
      <c r="K20" s="21" t="s">
        <v>19</v>
      </c>
      <c r="L20" t="s">
        <v>334</v>
      </c>
      <c r="M20">
        <v>36</v>
      </c>
    </row>
    <row r="21" spans="1:13" x14ac:dyDescent="0.3">
      <c r="A21" t="s">
        <v>19</v>
      </c>
      <c r="B21" t="s">
        <v>1426</v>
      </c>
      <c r="C21" s="24">
        <v>26.2</v>
      </c>
      <c r="D21" s="24">
        <v>1</v>
      </c>
      <c r="G21" s="21" t="s">
        <v>19</v>
      </c>
      <c r="H21" t="s">
        <v>949</v>
      </c>
      <c r="I21">
        <v>2223.9</v>
      </c>
      <c r="K21" s="21" t="s">
        <v>19</v>
      </c>
      <c r="L21" t="s">
        <v>949</v>
      </c>
      <c r="M21">
        <v>30</v>
      </c>
    </row>
    <row r="22" spans="1:13" x14ac:dyDescent="0.3">
      <c r="A22" t="s">
        <v>19</v>
      </c>
      <c r="B22" t="s">
        <v>33</v>
      </c>
      <c r="C22" s="24">
        <v>215551.19999999981</v>
      </c>
      <c r="D22" s="24">
        <v>3991</v>
      </c>
      <c r="G22" s="21" t="s">
        <v>19</v>
      </c>
      <c r="H22" t="s">
        <v>1426</v>
      </c>
      <c r="I22">
        <v>26.2</v>
      </c>
      <c r="K22" s="21" t="s">
        <v>19</v>
      </c>
      <c r="L22" t="s">
        <v>1426</v>
      </c>
      <c r="M22">
        <v>1</v>
      </c>
    </row>
    <row r="23" spans="1:13" x14ac:dyDescent="0.3">
      <c r="A23" t="s">
        <v>19</v>
      </c>
      <c r="B23" t="s">
        <v>364</v>
      </c>
      <c r="C23" s="24">
        <v>2687.3999999999996</v>
      </c>
      <c r="D23" s="24">
        <v>45</v>
      </c>
      <c r="G23" s="21" t="s">
        <v>19</v>
      </c>
      <c r="H23" t="s">
        <v>33</v>
      </c>
      <c r="I23">
        <v>215551.19999999981</v>
      </c>
      <c r="K23" s="21" t="s">
        <v>19</v>
      </c>
      <c r="L23" t="s">
        <v>33</v>
      </c>
      <c r="M23">
        <v>3991</v>
      </c>
    </row>
    <row r="24" spans="1:13" x14ac:dyDescent="0.3">
      <c r="A24" t="s">
        <v>19</v>
      </c>
      <c r="B24" t="s">
        <v>545</v>
      </c>
      <c r="C24" s="24">
        <v>1463.3000000000002</v>
      </c>
      <c r="D24" s="24">
        <v>39</v>
      </c>
      <c r="G24" s="21" t="s">
        <v>19</v>
      </c>
      <c r="H24" t="s">
        <v>364</v>
      </c>
      <c r="I24">
        <v>2687.3999999999996</v>
      </c>
      <c r="K24" s="21" t="s">
        <v>19</v>
      </c>
      <c r="L24" t="s">
        <v>364</v>
      </c>
      <c r="M24">
        <v>45</v>
      </c>
    </row>
    <row r="25" spans="1:13" x14ac:dyDescent="0.3">
      <c r="A25" t="s">
        <v>19</v>
      </c>
      <c r="B25" t="s">
        <v>416</v>
      </c>
      <c r="C25" s="24">
        <v>445.79999999999995</v>
      </c>
      <c r="D25" s="24">
        <v>6</v>
      </c>
      <c r="G25" s="21" t="s">
        <v>19</v>
      </c>
      <c r="H25" t="s">
        <v>545</v>
      </c>
      <c r="I25">
        <v>1463.3000000000002</v>
      </c>
      <c r="K25" s="21" t="s">
        <v>19</v>
      </c>
      <c r="L25" t="s">
        <v>545</v>
      </c>
      <c r="M25">
        <v>39</v>
      </c>
    </row>
    <row r="26" spans="1:13" x14ac:dyDescent="0.3">
      <c r="A26" t="s">
        <v>19</v>
      </c>
      <c r="B26" t="s">
        <v>258</v>
      </c>
      <c r="C26" s="24">
        <v>273.59999999999997</v>
      </c>
      <c r="D26" s="24">
        <v>9</v>
      </c>
      <c r="G26" s="21" t="s">
        <v>19</v>
      </c>
      <c r="H26" t="s">
        <v>416</v>
      </c>
      <c r="I26">
        <v>445.79999999999995</v>
      </c>
      <c r="K26" s="21" t="s">
        <v>19</v>
      </c>
      <c r="L26" t="s">
        <v>416</v>
      </c>
      <c r="M26">
        <v>6</v>
      </c>
    </row>
    <row r="27" spans="1:13" x14ac:dyDescent="0.3">
      <c r="A27" t="s">
        <v>19</v>
      </c>
      <c r="B27" t="s">
        <v>186</v>
      </c>
      <c r="C27" s="24">
        <v>2690.4</v>
      </c>
      <c r="D27" s="24">
        <v>60</v>
      </c>
      <c r="G27" s="21" t="s">
        <v>19</v>
      </c>
      <c r="H27" t="s">
        <v>258</v>
      </c>
      <c r="I27">
        <v>273.59999999999997</v>
      </c>
      <c r="K27" s="21" t="s">
        <v>19</v>
      </c>
      <c r="L27" t="s">
        <v>258</v>
      </c>
      <c r="M27">
        <v>9</v>
      </c>
    </row>
    <row r="28" spans="1:13" x14ac:dyDescent="0.3">
      <c r="A28" t="s">
        <v>19</v>
      </c>
      <c r="B28" t="s">
        <v>392</v>
      </c>
      <c r="C28" s="24">
        <v>28.4</v>
      </c>
      <c r="D28" s="24">
        <v>2</v>
      </c>
      <c r="G28" s="21" t="s">
        <v>19</v>
      </c>
      <c r="H28" t="s">
        <v>186</v>
      </c>
      <c r="I28">
        <v>2690.4</v>
      </c>
      <c r="K28" s="21" t="s">
        <v>19</v>
      </c>
      <c r="L28" t="s">
        <v>186</v>
      </c>
      <c r="M28">
        <v>60</v>
      </c>
    </row>
    <row r="29" spans="1:13" x14ac:dyDescent="0.3">
      <c r="A29" t="s">
        <v>19</v>
      </c>
      <c r="B29" t="s">
        <v>670</v>
      </c>
      <c r="C29" s="24">
        <v>204.8</v>
      </c>
      <c r="D29" s="24">
        <v>4</v>
      </c>
      <c r="G29" s="21" t="s">
        <v>19</v>
      </c>
      <c r="H29" t="s">
        <v>392</v>
      </c>
      <c r="I29">
        <v>28.4</v>
      </c>
      <c r="K29" s="21" t="s">
        <v>19</v>
      </c>
      <c r="L29" t="s">
        <v>392</v>
      </c>
      <c r="M29">
        <v>2</v>
      </c>
    </row>
    <row r="30" spans="1:13" x14ac:dyDescent="0.3">
      <c r="A30" t="s">
        <v>19</v>
      </c>
      <c r="B30" t="s">
        <v>802</v>
      </c>
      <c r="C30" s="24">
        <v>1607.8999999999999</v>
      </c>
      <c r="D30" s="24">
        <v>31</v>
      </c>
      <c r="G30" s="21" t="s">
        <v>19</v>
      </c>
      <c r="H30" t="s">
        <v>670</v>
      </c>
      <c r="I30">
        <v>204.8</v>
      </c>
      <c r="K30" s="21" t="s">
        <v>19</v>
      </c>
      <c r="L30" t="s">
        <v>670</v>
      </c>
      <c r="M30">
        <v>4</v>
      </c>
    </row>
    <row r="31" spans="1:13" x14ac:dyDescent="0.3">
      <c r="A31" t="s">
        <v>19</v>
      </c>
      <c r="B31" t="s">
        <v>98</v>
      </c>
      <c r="C31" s="24">
        <v>6444.9</v>
      </c>
      <c r="D31" s="24">
        <v>88</v>
      </c>
      <c r="G31" s="21" t="s">
        <v>19</v>
      </c>
      <c r="H31" t="s">
        <v>802</v>
      </c>
      <c r="I31">
        <v>1607.8999999999999</v>
      </c>
      <c r="K31" s="21" t="s">
        <v>19</v>
      </c>
      <c r="L31" t="s">
        <v>802</v>
      </c>
      <c r="M31">
        <v>31</v>
      </c>
    </row>
    <row r="32" spans="1:13" x14ac:dyDescent="0.3">
      <c r="A32" t="s">
        <v>19</v>
      </c>
      <c r="B32" t="s">
        <v>49</v>
      </c>
      <c r="C32" s="24">
        <v>1809.3</v>
      </c>
      <c r="D32" s="24">
        <v>25</v>
      </c>
      <c r="G32" s="21" t="s">
        <v>19</v>
      </c>
      <c r="H32" t="s">
        <v>98</v>
      </c>
      <c r="I32">
        <v>6444.9</v>
      </c>
      <c r="K32" s="21" t="s">
        <v>19</v>
      </c>
      <c r="L32" t="s">
        <v>98</v>
      </c>
      <c r="M32">
        <v>88</v>
      </c>
    </row>
    <row r="33" spans="1:13" x14ac:dyDescent="0.3">
      <c r="A33" t="s">
        <v>19</v>
      </c>
      <c r="B33" t="s">
        <v>188</v>
      </c>
      <c r="C33" s="24">
        <v>9680.399999999996</v>
      </c>
      <c r="D33" s="24">
        <v>178</v>
      </c>
      <c r="G33" s="21" t="s">
        <v>19</v>
      </c>
      <c r="H33" t="s">
        <v>49</v>
      </c>
      <c r="I33">
        <v>1809.3</v>
      </c>
      <c r="K33" s="21" t="s">
        <v>19</v>
      </c>
      <c r="L33" t="s">
        <v>49</v>
      </c>
      <c r="M33">
        <v>25</v>
      </c>
    </row>
    <row r="34" spans="1:13" x14ac:dyDescent="0.3">
      <c r="A34" t="s">
        <v>19</v>
      </c>
      <c r="B34" t="s">
        <v>52</v>
      </c>
      <c r="C34" s="24">
        <v>9414.7999999999993</v>
      </c>
      <c r="D34" s="24">
        <v>141</v>
      </c>
      <c r="G34" s="21" t="s">
        <v>19</v>
      </c>
      <c r="H34" t="s">
        <v>188</v>
      </c>
      <c r="I34">
        <v>9680.399999999996</v>
      </c>
      <c r="K34" s="21" t="s">
        <v>19</v>
      </c>
      <c r="L34" t="s">
        <v>188</v>
      </c>
      <c r="M34">
        <v>178</v>
      </c>
    </row>
    <row r="35" spans="1:13" x14ac:dyDescent="0.3">
      <c r="A35" t="s">
        <v>19</v>
      </c>
      <c r="B35" t="s">
        <v>338</v>
      </c>
      <c r="C35" s="24">
        <v>206.1</v>
      </c>
      <c r="D35" s="24">
        <v>6</v>
      </c>
      <c r="G35" s="21" t="s">
        <v>19</v>
      </c>
      <c r="H35" t="s">
        <v>52</v>
      </c>
      <c r="I35">
        <v>9414.7999999999993</v>
      </c>
      <c r="K35" s="21" t="s">
        <v>19</v>
      </c>
      <c r="L35" t="s">
        <v>52</v>
      </c>
      <c r="M35">
        <v>141</v>
      </c>
    </row>
    <row r="36" spans="1:13" x14ac:dyDescent="0.3">
      <c r="A36" t="s">
        <v>19</v>
      </c>
      <c r="B36" t="s">
        <v>158</v>
      </c>
      <c r="C36" s="24">
        <v>7691.3</v>
      </c>
      <c r="D36" s="24">
        <v>178</v>
      </c>
      <c r="G36" s="21" t="s">
        <v>19</v>
      </c>
      <c r="H36" t="s">
        <v>338</v>
      </c>
      <c r="I36">
        <v>206.1</v>
      </c>
      <c r="K36" s="21" t="s">
        <v>19</v>
      </c>
      <c r="L36" t="s">
        <v>338</v>
      </c>
      <c r="M36">
        <v>6</v>
      </c>
    </row>
    <row r="37" spans="1:13" x14ac:dyDescent="0.3">
      <c r="A37" t="s">
        <v>19</v>
      </c>
      <c r="B37" t="s">
        <v>55</v>
      </c>
      <c r="C37" s="24">
        <v>37784.900000000016</v>
      </c>
      <c r="D37" s="24">
        <v>699</v>
      </c>
      <c r="G37" s="21" t="s">
        <v>19</v>
      </c>
      <c r="H37" t="s">
        <v>158</v>
      </c>
      <c r="I37">
        <v>7691.3</v>
      </c>
      <c r="K37" s="21" t="s">
        <v>19</v>
      </c>
      <c r="L37" t="s">
        <v>158</v>
      </c>
      <c r="M37">
        <v>178</v>
      </c>
    </row>
    <row r="38" spans="1:13" x14ac:dyDescent="0.3">
      <c r="A38" t="s">
        <v>19</v>
      </c>
      <c r="B38" t="s">
        <v>342</v>
      </c>
      <c r="C38" s="24">
        <v>1129.7</v>
      </c>
      <c r="D38" s="24">
        <v>23</v>
      </c>
      <c r="G38" s="21" t="s">
        <v>19</v>
      </c>
      <c r="H38" t="s">
        <v>55</v>
      </c>
      <c r="I38">
        <v>37784.900000000016</v>
      </c>
      <c r="K38" s="21" t="s">
        <v>19</v>
      </c>
      <c r="L38" t="s">
        <v>55</v>
      </c>
      <c r="M38">
        <v>699</v>
      </c>
    </row>
    <row r="39" spans="1:13" x14ac:dyDescent="0.3">
      <c r="A39" t="s">
        <v>19</v>
      </c>
      <c r="B39" t="s">
        <v>59</v>
      </c>
      <c r="C39" s="24">
        <v>20988.9</v>
      </c>
      <c r="D39" s="24">
        <v>356</v>
      </c>
      <c r="G39" s="21" t="s">
        <v>19</v>
      </c>
      <c r="H39" t="s">
        <v>342</v>
      </c>
      <c r="I39">
        <v>1129.7</v>
      </c>
      <c r="K39" s="21" t="s">
        <v>19</v>
      </c>
      <c r="L39" t="s">
        <v>342</v>
      </c>
      <c r="M39">
        <v>23</v>
      </c>
    </row>
    <row r="40" spans="1:13" x14ac:dyDescent="0.3">
      <c r="A40" t="s">
        <v>19</v>
      </c>
      <c r="B40" t="s">
        <v>62</v>
      </c>
      <c r="C40" s="24">
        <v>98367.099999999977</v>
      </c>
      <c r="D40" s="24">
        <v>1768</v>
      </c>
      <c r="G40" s="21" t="s">
        <v>19</v>
      </c>
      <c r="H40" t="s">
        <v>59</v>
      </c>
      <c r="I40">
        <v>20988.9</v>
      </c>
      <c r="K40" s="21" t="s">
        <v>19</v>
      </c>
      <c r="L40" t="s">
        <v>59</v>
      </c>
      <c r="M40">
        <v>356</v>
      </c>
    </row>
    <row r="41" spans="1:13" x14ac:dyDescent="0.3">
      <c r="A41" t="s">
        <v>19</v>
      </c>
      <c r="B41" t="s">
        <v>103</v>
      </c>
      <c r="C41" s="24">
        <v>21911.9</v>
      </c>
      <c r="D41" s="24">
        <v>307</v>
      </c>
      <c r="G41" s="21" t="s">
        <v>19</v>
      </c>
      <c r="H41" t="s">
        <v>62</v>
      </c>
      <c r="I41">
        <v>98367.099999999977</v>
      </c>
      <c r="K41" s="21" t="s">
        <v>19</v>
      </c>
      <c r="L41" t="s">
        <v>62</v>
      </c>
      <c r="M41">
        <v>1768</v>
      </c>
    </row>
    <row r="42" spans="1:13" x14ac:dyDescent="0.3">
      <c r="A42" t="s">
        <v>19</v>
      </c>
      <c r="B42" t="s">
        <v>201</v>
      </c>
      <c r="C42" s="24">
        <v>5441.2</v>
      </c>
      <c r="D42" s="24">
        <v>117</v>
      </c>
      <c r="G42" s="21" t="s">
        <v>19</v>
      </c>
      <c r="H42" t="s">
        <v>103</v>
      </c>
      <c r="I42">
        <v>21911.9</v>
      </c>
      <c r="K42" s="21" t="s">
        <v>19</v>
      </c>
      <c r="L42" t="s">
        <v>103</v>
      </c>
      <c r="M42">
        <v>307</v>
      </c>
    </row>
    <row r="43" spans="1:13" x14ac:dyDescent="0.3">
      <c r="A43" t="s">
        <v>19</v>
      </c>
      <c r="B43" t="s">
        <v>429</v>
      </c>
      <c r="C43" s="24">
        <v>392.8</v>
      </c>
      <c r="D43" s="24">
        <v>13</v>
      </c>
      <c r="G43" s="21" t="s">
        <v>19</v>
      </c>
      <c r="H43" t="s">
        <v>201</v>
      </c>
      <c r="I43">
        <v>5441.2</v>
      </c>
      <c r="K43" s="21" t="s">
        <v>19</v>
      </c>
      <c r="L43" t="s">
        <v>201</v>
      </c>
      <c r="M43">
        <v>117</v>
      </c>
    </row>
    <row r="44" spans="1:13" x14ac:dyDescent="0.3">
      <c r="A44" t="s">
        <v>19</v>
      </c>
      <c r="B44" t="s">
        <v>72</v>
      </c>
      <c r="C44" s="24">
        <v>16172.000000000005</v>
      </c>
      <c r="D44" s="24">
        <v>364</v>
      </c>
      <c r="G44" s="21" t="s">
        <v>19</v>
      </c>
      <c r="H44" t="s">
        <v>429</v>
      </c>
      <c r="I44">
        <v>392.8</v>
      </c>
      <c r="K44" s="21" t="s">
        <v>19</v>
      </c>
      <c r="L44" t="s">
        <v>429</v>
      </c>
      <c r="M44">
        <v>13</v>
      </c>
    </row>
    <row r="45" spans="1:13" x14ac:dyDescent="0.3">
      <c r="A45" t="s">
        <v>19</v>
      </c>
      <c r="B45" t="s">
        <v>74</v>
      </c>
      <c r="C45" s="24">
        <v>4334.9999999999991</v>
      </c>
      <c r="D45" s="24">
        <v>95</v>
      </c>
      <c r="G45" s="21" t="s">
        <v>19</v>
      </c>
      <c r="H45" t="s">
        <v>72</v>
      </c>
      <c r="I45">
        <v>16172.000000000005</v>
      </c>
      <c r="K45" s="21" t="s">
        <v>19</v>
      </c>
      <c r="L45" t="s">
        <v>72</v>
      </c>
      <c r="M45">
        <v>364</v>
      </c>
    </row>
    <row r="46" spans="1:13" x14ac:dyDescent="0.3">
      <c r="A46" t="s">
        <v>19</v>
      </c>
      <c r="B46" t="s">
        <v>77</v>
      </c>
      <c r="C46" s="24">
        <v>37449.000000000007</v>
      </c>
      <c r="D46" s="24">
        <v>737</v>
      </c>
      <c r="G46" s="21" t="s">
        <v>19</v>
      </c>
      <c r="H46" t="s">
        <v>74</v>
      </c>
      <c r="I46">
        <v>4334.9999999999991</v>
      </c>
      <c r="K46" s="21" t="s">
        <v>19</v>
      </c>
      <c r="L46" t="s">
        <v>74</v>
      </c>
      <c r="M46">
        <v>95</v>
      </c>
    </row>
    <row r="47" spans="1:13" x14ac:dyDescent="0.3">
      <c r="A47" t="s">
        <v>19</v>
      </c>
      <c r="B47" t="s">
        <v>309</v>
      </c>
      <c r="C47" s="24">
        <v>2447.5</v>
      </c>
      <c r="D47" s="24">
        <v>39</v>
      </c>
      <c r="G47" s="21" t="s">
        <v>19</v>
      </c>
      <c r="H47" t="s">
        <v>77</v>
      </c>
      <c r="I47">
        <v>37449.000000000007</v>
      </c>
      <c r="K47" s="21" t="s">
        <v>19</v>
      </c>
      <c r="L47" t="s">
        <v>77</v>
      </c>
      <c r="M47">
        <v>737</v>
      </c>
    </row>
    <row r="48" spans="1:13" x14ac:dyDescent="0.3">
      <c r="A48" t="s">
        <v>19</v>
      </c>
      <c r="B48" t="s">
        <v>1116</v>
      </c>
      <c r="C48" s="24">
        <v>3391.1</v>
      </c>
      <c r="D48" s="24">
        <v>56</v>
      </c>
      <c r="G48" s="21" t="s">
        <v>19</v>
      </c>
      <c r="H48" t="s">
        <v>309</v>
      </c>
      <c r="I48">
        <v>2447.5</v>
      </c>
      <c r="K48" s="21" t="s">
        <v>19</v>
      </c>
      <c r="L48" t="s">
        <v>309</v>
      </c>
      <c r="M48">
        <v>39</v>
      </c>
    </row>
    <row r="49" spans="1:13" x14ac:dyDescent="0.3">
      <c r="A49" t="s">
        <v>19</v>
      </c>
      <c r="B49" t="s">
        <v>700</v>
      </c>
      <c r="C49" s="24">
        <v>30.8</v>
      </c>
      <c r="D49" s="24">
        <v>2</v>
      </c>
      <c r="G49" s="21" t="s">
        <v>19</v>
      </c>
      <c r="H49" t="s">
        <v>1116</v>
      </c>
      <c r="I49">
        <v>3391.1</v>
      </c>
      <c r="K49" s="21" t="s">
        <v>19</v>
      </c>
      <c r="L49" t="s">
        <v>1116</v>
      </c>
      <c r="M49">
        <v>56</v>
      </c>
    </row>
    <row r="50" spans="1:13" x14ac:dyDescent="0.3">
      <c r="A50" t="s">
        <v>19</v>
      </c>
      <c r="B50" t="s">
        <v>268</v>
      </c>
      <c r="C50" s="24">
        <v>332.3</v>
      </c>
      <c r="D50" s="24">
        <v>8</v>
      </c>
      <c r="G50" s="21" t="s">
        <v>19</v>
      </c>
      <c r="H50" t="s">
        <v>700</v>
      </c>
      <c r="I50">
        <v>30.8</v>
      </c>
      <c r="K50" s="21" t="s">
        <v>19</v>
      </c>
      <c r="L50" t="s">
        <v>700</v>
      </c>
      <c r="M50">
        <v>2</v>
      </c>
    </row>
    <row r="51" spans="1:13" x14ac:dyDescent="0.3">
      <c r="A51" t="s">
        <v>19</v>
      </c>
      <c r="B51" t="s">
        <v>377</v>
      </c>
      <c r="C51" s="24">
        <v>3175.9999999999995</v>
      </c>
      <c r="D51" s="24">
        <v>52</v>
      </c>
      <c r="G51" s="21" t="s">
        <v>19</v>
      </c>
      <c r="H51" t="s">
        <v>268</v>
      </c>
      <c r="I51">
        <v>332.3</v>
      </c>
      <c r="K51" s="21" t="s">
        <v>19</v>
      </c>
      <c r="L51" t="s">
        <v>268</v>
      </c>
      <c r="M51">
        <v>8</v>
      </c>
    </row>
    <row r="52" spans="1:13" x14ac:dyDescent="0.3">
      <c r="A52" t="s">
        <v>19</v>
      </c>
      <c r="B52" t="s">
        <v>108</v>
      </c>
      <c r="C52" s="24">
        <v>20939.600000000002</v>
      </c>
      <c r="D52" s="24">
        <v>295</v>
      </c>
      <c r="G52" s="21" t="s">
        <v>19</v>
      </c>
      <c r="H52" t="s">
        <v>377</v>
      </c>
      <c r="I52">
        <v>3175.9999999999995</v>
      </c>
      <c r="K52" s="21" t="s">
        <v>19</v>
      </c>
      <c r="L52" t="s">
        <v>377</v>
      </c>
      <c r="M52">
        <v>52</v>
      </c>
    </row>
    <row r="53" spans="1:13" x14ac:dyDescent="0.3">
      <c r="A53" t="s">
        <v>19</v>
      </c>
      <c r="B53" t="s">
        <v>110</v>
      </c>
      <c r="C53" s="24">
        <v>10185.899999999996</v>
      </c>
      <c r="D53" s="24">
        <v>195</v>
      </c>
      <c r="G53" s="21" t="s">
        <v>19</v>
      </c>
      <c r="H53" t="s">
        <v>108</v>
      </c>
      <c r="I53">
        <v>20939.600000000002</v>
      </c>
      <c r="K53" s="21" t="s">
        <v>19</v>
      </c>
      <c r="L53" t="s">
        <v>108</v>
      </c>
      <c r="M53">
        <v>295</v>
      </c>
    </row>
    <row r="54" spans="1:13" x14ac:dyDescent="0.3">
      <c r="A54" t="s">
        <v>19</v>
      </c>
      <c r="B54" t="s">
        <v>292</v>
      </c>
      <c r="C54" s="24">
        <v>958.7</v>
      </c>
      <c r="D54" s="24">
        <v>20</v>
      </c>
      <c r="G54" s="21" t="s">
        <v>19</v>
      </c>
      <c r="H54" t="s">
        <v>110</v>
      </c>
      <c r="I54">
        <v>10185.899999999996</v>
      </c>
      <c r="K54" s="21" t="s">
        <v>19</v>
      </c>
      <c r="L54" t="s">
        <v>110</v>
      </c>
      <c r="M54">
        <v>195</v>
      </c>
    </row>
    <row r="55" spans="1:13" x14ac:dyDescent="0.3">
      <c r="A55" t="s">
        <v>19</v>
      </c>
      <c r="B55" t="s">
        <v>79</v>
      </c>
      <c r="C55" s="24">
        <v>323</v>
      </c>
      <c r="D55" s="24">
        <v>6</v>
      </c>
      <c r="G55" s="21" t="s">
        <v>19</v>
      </c>
      <c r="H55" t="s">
        <v>292</v>
      </c>
      <c r="I55">
        <v>958.7</v>
      </c>
      <c r="K55" s="21" t="s">
        <v>19</v>
      </c>
      <c r="L55" t="s">
        <v>292</v>
      </c>
      <c r="M55">
        <v>20</v>
      </c>
    </row>
    <row r="56" spans="1:13" x14ac:dyDescent="0.3">
      <c r="A56" t="s">
        <v>19</v>
      </c>
      <c r="B56" t="s">
        <v>608</v>
      </c>
      <c r="C56" s="24">
        <v>167.70000000000002</v>
      </c>
      <c r="D56" s="24">
        <v>5</v>
      </c>
      <c r="G56" s="21" t="s">
        <v>19</v>
      </c>
      <c r="H56" t="s">
        <v>79</v>
      </c>
      <c r="I56">
        <v>323</v>
      </c>
      <c r="K56" s="21" t="s">
        <v>19</v>
      </c>
      <c r="L56" t="s">
        <v>79</v>
      </c>
      <c r="M56">
        <v>6</v>
      </c>
    </row>
    <row r="57" spans="1:13" x14ac:dyDescent="0.3">
      <c r="A57" t="s">
        <v>19</v>
      </c>
      <c r="B57" t="s">
        <v>113</v>
      </c>
      <c r="C57" s="24">
        <v>3978.5</v>
      </c>
      <c r="D57" s="24">
        <v>94</v>
      </c>
      <c r="G57" s="21" t="s">
        <v>19</v>
      </c>
      <c r="H57" t="s">
        <v>608</v>
      </c>
      <c r="I57">
        <v>167.70000000000002</v>
      </c>
      <c r="K57" s="21" t="s">
        <v>19</v>
      </c>
      <c r="L57" t="s">
        <v>608</v>
      </c>
      <c r="M57">
        <v>5</v>
      </c>
    </row>
    <row r="58" spans="1:13" x14ac:dyDescent="0.3">
      <c r="A58" t="s">
        <v>19</v>
      </c>
      <c r="B58" t="s">
        <v>997</v>
      </c>
      <c r="C58" s="24">
        <v>1405</v>
      </c>
      <c r="D58" s="24">
        <v>28</v>
      </c>
      <c r="G58" s="21" t="s">
        <v>19</v>
      </c>
      <c r="H58" t="s">
        <v>113</v>
      </c>
      <c r="I58">
        <v>3978.5</v>
      </c>
      <c r="K58" s="21" t="s">
        <v>19</v>
      </c>
      <c r="L58" t="s">
        <v>113</v>
      </c>
      <c r="M58">
        <v>94</v>
      </c>
    </row>
    <row r="59" spans="1:13" x14ac:dyDescent="0.3">
      <c r="A59" t="s">
        <v>19</v>
      </c>
      <c r="B59" t="s">
        <v>82</v>
      </c>
      <c r="C59" s="24">
        <v>9869.0999999999985</v>
      </c>
      <c r="D59" s="24">
        <v>179</v>
      </c>
      <c r="G59" s="21" t="s">
        <v>19</v>
      </c>
      <c r="H59" t="s">
        <v>997</v>
      </c>
      <c r="I59">
        <v>1405</v>
      </c>
      <c r="K59" s="21" t="s">
        <v>19</v>
      </c>
      <c r="L59" t="s">
        <v>997</v>
      </c>
      <c r="M59">
        <v>28</v>
      </c>
    </row>
    <row r="60" spans="1:13" x14ac:dyDescent="0.3">
      <c r="A60" t="s">
        <v>19</v>
      </c>
      <c r="B60" t="s">
        <v>243</v>
      </c>
      <c r="C60" s="24">
        <v>615.29999999999995</v>
      </c>
      <c r="D60" s="24">
        <v>15</v>
      </c>
      <c r="G60" s="21" t="s">
        <v>19</v>
      </c>
      <c r="H60" t="s">
        <v>82</v>
      </c>
      <c r="I60">
        <v>9869.0999999999985</v>
      </c>
      <c r="K60" s="21" t="s">
        <v>19</v>
      </c>
      <c r="L60" t="s">
        <v>82</v>
      </c>
      <c r="M60">
        <v>179</v>
      </c>
    </row>
    <row r="61" spans="1:13" x14ac:dyDescent="0.3">
      <c r="A61" t="s">
        <v>19</v>
      </c>
      <c r="B61" t="s">
        <v>1911</v>
      </c>
      <c r="C61" s="24">
        <v>285</v>
      </c>
      <c r="D61" s="24">
        <v>3</v>
      </c>
      <c r="G61" s="21" t="s">
        <v>19</v>
      </c>
      <c r="H61" t="s">
        <v>243</v>
      </c>
      <c r="I61">
        <v>615.29999999999995</v>
      </c>
      <c r="K61" s="21" t="s">
        <v>19</v>
      </c>
      <c r="L61" t="s">
        <v>243</v>
      </c>
      <c r="M61">
        <v>15</v>
      </c>
    </row>
    <row r="62" spans="1:13" x14ac:dyDescent="0.3">
      <c r="A62" t="s">
        <v>2572</v>
      </c>
      <c r="C62" s="24">
        <v>649019.79999999981</v>
      </c>
      <c r="D62" s="24">
        <v>11997</v>
      </c>
      <c r="G62" s="22" t="s">
        <v>19</v>
      </c>
      <c r="H62" t="s">
        <v>1911</v>
      </c>
      <c r="I62">
        <v>285</v>
      </c>
      <c r="K62" s="22" t="s">
        <v>19</v>
      </c>
      <c r="L62" t="s">
        <v>1911</v>
      </c>
      <c r="M62">
        <v>3</v>
      </c>
    </row>
    <row r="63" spans="1:13" x14ac:dyDescent="0.3">
      <c r="A63" t="s">
        <v>2553</v>
      </c>
      <c r="C63" s="24">
        <v>649019.79999999981</v>
      </c>
      <c r="D63" s="24">
        <v>11997</v>
      </c>
      <c r="G63" s="23" t="s">
        <v>2572</v>
      </c>
      <c r="H63" s="23"/>
      <c r="I63" s="23">
        <v>649019.79999999981</v>
      </c>
      <c r="K63" s="23" t="s">
        <v>2572</v>
      </c>
      <c r="L63" s="23"/>
      <c r="M63" s="23">
        <v>11997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AAF7E-1326-4956-BF5C-24C09D56F740}">
  <dimension ref="A3:G28"/>
  <sheetViews>
    <sheetView workbookViewId="0">
      <selection activeCell="A11" sqref="A11"/>
    </sheetView>
  </sheetViews>
  <sheetFormatPr defaultRowHeight="14.4" x14ac:dyDescent="0.3"/>
  <cols>
    <col min="1" max="1" width="12.44140625" bestFit="1" customWidth="1"/>
    <col min="2" max="2" width="15.5546875" bestFit="1" customWidth="1"/>
    <col min="3" max="4" width="4" bestFit="1" customWidth="1"/>
    <col min="5" max="5" width="5" bestFit="1" customWidth="1"/>
    <col min="6" max="6" width="4" bestFit="1" customWidth="1"/>
    <col min="7" max="7" width="10.5546875" bestFit="1" customWidth="1"/>
    <col min="8" max="32" width="9" bestFit="1" customWidth="1"/>
    <col min="33" max="89" width="9.44140625" bestFit="1" customWidth="1"/>
    <col min="90" max="90" width="10.5546875" bestFit="1" customWidth="1"/>
  </cols>
  <sheetData>
    <row r="3" spans="1:2" x14ac:dyDescent="0.3">
      <c r="A3" s="12" t="s">
        <v>2552</v>
      </c>
      <c r="B3" t="s">
        <v>2554</v>
      </c>
    </row>
    <row r="4" spans="1:2" x14ac:dyDescent="0.3">
      <c r="A4" s="13">
        <v>0</v>
      </c>
      <c r="B4" s="24">
        <v>175</v>
      </c>
    </row>
    <row r="5" spans="1:2" x14ac:dyDescent="0.3">
      <c r="A5" s="13">
        <v>1</v>
      </c>
      <c r="B5" s="24">
        <v>888</v>
      </c>
    </row>
    <row r="6" spans="1:2" x14ac:dyDescent="0.3">
      <c r="A6" s="13">
        <v>2</v>
      </c>
      <c r="B6" s="24">
        <v>538</v>
      </c>
    </row>
    <row r="7" spans="1:2" x14ac:dyDescent="0.3">
      <c r="A7" s="13">
        <v>3</v>
      </c>
      <c r="B7" s="24">
        <v>344</v>
      </c>
    </row>
    <row r="8" spans="1:2" x14ac:dyDescent="0.3">
      <c r="A8" s="13">
        <v>4</v>
      </c>
      <c r="B8" s="24">
        <v>200</v>
      </c>
    </row>
    <row r="9" spans="1:2" x14ac:dyDescent="0.3">
      <c r="A9" s="13">
        <v>5</v>
      </c>
      <c r="B9" s="24">
        <v>94</v>
      </c>
    </row>
    <row r="10" spans="1:2" x14ac:dyDescent="0.3">
      <c r="A10" s="13">
        <v>6</v>
      </c>
      <c r="B10" s="24">
        <v>51</v>
      </c>
    </row>
    <row r="11" spans="1:2" x14ac:dyDescent="0.3">
      <c r="A11" s="13">
        <v>7</v>
      </c>
      <c r="B11" s="24">
        <v>32</v>
      </c>
    </row>
    <row r="12" spans="1:2" x14ac:dyDescent="0.3">
      <c r="A12" s="13">
        <v>8</v>
      </c>
      <c r="B12" s="24">
        <v>23</v>
      </c>
    </row>
    <row r="13" spans="1:2" x14ac:dyDescent="0.3">
      <c r="A13" s="13">
        <v>9</v>
      </c>
      <c r="B13" s="24">
        <v>9</v>
      </c>
    </row>
    <row r="14" spans="1:2" x14ac:dyDescent="0.3">
      <c r="A14" s="13">
        <v>10</v>
      </c>
      <c r="B14" s="24">
        <v>8</v>
      </c>
    </row>
    <row r="15" spans="1:2" x14ac:dyDescent="0.3">
      <c r="A15" s="13">
        <v>11</v>
      </c>
      <c r="B15" s="24">
        <v>11</v>
      </c>
    </row>
    <row r="16" spans="1:2" x14ac:dyDescent="0.3">
      <c r="A16" s="13">
        <v>12</v>
      </c>
      <c r="B16" s="24">
        <v>4</v>
      </c>
    </row>
    <row r="17" spans="1:7" x14ac:dyDescent="0.3">
      <c r="A17" s="13">
        <v>13</v>
      </c>
      <c r="B17" s="24">
        <v>10</v>
      </c>
    </row>
    <row r="18" spans="1:7" x14ac:dyDescent="0.3">
      <c r="A18" s="13">
        <v>14</v>
      </c>
      <c r="B18" s="24">
        <v>13</v>
      </c>
    </row>
    <row r="19" spans="1:7" x14ac:dyDescent="0.3">
      <c r="A19" s="13" t="s">
        <v>2553</v>
      </c>
      <c r="B19" s="24">
        <v>2400</v>
      </c>
    </row>
    <row r="22" spans="1:7" x14ac:dyDescent="0.3">
      <c r="A22" t="s">
        <v>2575</v>
      </c>
    </row>
    <row r="23" spans="1:7" x14ac:dyDescent="0.3">
      <c r="A23" s="12" t="s">
        <v>2554</v>
      </c>
      <c r="B23" s="12" t="s">
        <v>2568</v>
      </c>
    </row>
    <row r="24" spans="1:7" x14ac:dyDescent="0.3">
      <c r="A24" s="12" t="s">
        <v>2552</v>
      </c>
      <c r="B24">
        <v>1</v>
      </c>
      <c r="C24">
        <v>2</v>
      </c>
      <c r="D24">
        <v>3</v>
      </c>
      <c r="E24">
        <v>4</v>
      </c>
      <c r="F24">
        <v>5</v>
      </c>
      <c r="G24" t="s">
        <v>2553</v>
      </c>
    </row>
    <row r="25" spans="1:7" x14ac:dyDescent="0.3">
      <c r="A25" s="13" t="s">
        <v>2576</v>
      </c>
      <c r="B25" s="24">
        <v>7</v>
      </c>
      <c r="C25" s="24">
        <v>37</v>
      </c>
      <c r="D25" s="24">
        <v>150</v>
      </c>
      <c r="E25" s="24">
        <v>312</v>
      </c>
      <c r="F25" s="24">
        <v>224</v>
      </c>
      <c r="G25" s="24">
        <v>730</v>
      </c>
    </row>
    <row r="26" spans="1:7" x14ac:dyDescent="0.3">
      <c r="A26" s="13" t="s">
        <v>2577</v>
      </c>
      <c r="B26" s="24">
        <v>8</v>
      </c>
      <c r="C26" s="24">
        <v>51</v>
      </c>
      <c r="D26" s="24">
        <v>182</v>
      </c>
      <c r="E26" s="24">
        <v>373</v>
      </c>
      <c r="F26" s="24">
        <v>247</v>
      </c>
      <c r="G26" s="24">
        <v>861</v>
      </c>
    </row>
    <row r="27" spans="1:7" x14ac:dyDescent="0.3">
      <c r="A27" s="13" t="s">
        <v>2578</v>
      </c>
      <c r="B27" s="24">
        <v>6</v>
      </c>
      <c r="C27" s="24">
        <v>39</v>
      </c>
      <c r="D27" s="24">
        <v>163</v>
      </c>
      <c r="E27" s="24">
        <v>351</v>
      </c>
      <c r="F27" s="24">
        <v>250</v>
      </c>
      <c r="G27" s="24">
        <v>809</v>
      </c>
    </row>
    <row r="28" spans="1:7" x14ac:dyDescent="0.3">
      <c r="A28" s="13" t="s">
        <v>2553</v>
      </c>
      <c r="B28" s="24">
        <v>21</v>
      </c>
      <c r="C28" s="24">
        <v>127</v>
      </c>
      <c r="D28" s="24">
        <v>495</v>
      </c>
      <c r="E28" s="24">
        <v>1036</v>
      </c>
      <c r="F28" s="24">
        <v>721</v>
      </c>
      <c r="G28" s="24">
        <v>2400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FBAD4-1DBD-4F4F-9635-32AF3BD1113E}">
  <dimension ref="A2:L10"/>
  <sheetViews>
    <sheetView showGridLines="0" workbookViewId="0">
      <selection activeCell="H20" sqref="H20"/>
    </sheetView>
  </sheetViews>
  <sheetFormatPr defaultRowHeight="14.4" x14ac:dyDescent="0.3"/>
  <cols>
    <col min="1" max="1" width="13.5546875" bestFit="1" customWidth="1"/>
    <col min="2" max="2" width="15.5546875" bestFit="1" customWidth="1"/>
    <col min="3" max="3" width="7.109375" bestFit="1" customWidth="1"/>
    <col min="4" max="4" width="6.109375" bestFit="1" customWidth="1"/>
    <col min="5" max="5" width="8.5546875" bestFit="1" customWidth="1"/>
    <col min="6" max="6" width="10.5546875" bestFit="1" customWidth="1"/>
    <col min="8" max="8" width="10.44140625" bestFit="1" customWidth="1"/>
  </cols>
  <sheetData>
    <row r="2" spans="1:12" ht="13.2" customHeight="1" x14ac:dyDescent="0.3">
      <c r="H2" t="s">
        <v>2569</v>
      </c>
    </row>
    <row r="3" spans="1:12" ht="16.2" customHeight="1" x14ac:dyDescent="0.3">
      <c r="A3" s="12" t="s">
        <v>2556</v>
      </c>
      <c r="B3" s="12" t="s">
        <v>2568</v>
      </c>
    </row>
    <row r="4" spans="1:12" ht="24.6" customHeight="1" x14ac:dyDescent="0.3">
      <c r="A4" s="12" t="s">
        <v>2552</v>
      </c>
      <c r="B4" t="s">
        <v>2566</v>
      </c>
      <c r="C4" t="s">
        <v>2565</v>
      </c>
      <c r="D4" t="s">
        <v>2567</v>
      </c>
      <c r="E4" t="s">
        <v>2564</v>
      </c>
      <c r="F4" t="s">
        <v>2553</v>
      </c>
      <c r="H4" s="17"/>
      <c r="I4" s="19" t="str">
        <f>B4</f>
        <v>Female</v>
      </c>
      <c r="J4" s="19" t="str">
        <f t="shared" ref="J4:L4" si="0">C4</f>
        <v>Male</v>
      </c>
      <c r="K4" s="19" t="str">
        <f t="shared" si="0"/>
        <v>Other</v>
      </c>
      <c r="L4" s="19" t="str">
        <f t="shared" si="0"/>
        <v>Unknown</v>
      </c>
    </row>
    <row r="5" spans="1:12" ht="22.05" customHeight="1" x14ac:dyDescent="0.3">
      <c r="A5" s="13" t="s">
        <v>18</v>
      </c>
      <c r="B5" s="16">
        <v>0.18961825201634841</v>
      </c>
      <c r="C5" s="16">
        <v>0.12262322351336576</v>
      </c>
      <c r="D5" s="16">
        <v>1.060537752469185E-2</v>
      </c>
      <c r="E5" s="16">
        <v>3.0599220547662797E-2</v>
      </c>
      <c r="F5" s="16">
        <v>0.35344607360206881</v>
      </c>
      <c r="H5" s="17" t="str">
        <f>A5</f>
        <v>App</v>
      </c>
      <c r="I5" s="18">
        <f t="shared" ref="I5:L9" si="1">B5</f>
        <v>0.18961825201634841</v>
      </c>
      <c r="J5" s="18">
        <f t="shared" si="1"/>
        <v>0.12262322351336576</v>
      </c>
      <c r="K5" s="18">
        <f t="shared" si="1"/>
        <v>1.060537752469185E-2</v>
      </c>
      <c r="L5" s="18">
        <f t="shared" si="1"/>
        <v>3.0599220547662797E-2</v>
      </c>
    </row>
    <row r="6" spans="1:12" ht="22.05" customHeight="1" x14ac:dyDescent="0.3">
      <c r="A6" s="13" t="s">
        <v>51</v>
      </c>
      <c r="B6" s="16">
        <v>5.0283982091147303E-2</v>
      </c>
      <c r="C6" s="16">
        <v>4.3060781812819873E-2</v>
      </c>
      <c r="D6" s="16">
        <v>1.5320025675641944E-3</v>
      </c>
      <c r="E6" s="16">
        <v>1.7794988689097006E-2</v>
      </c>
      <c r="F6" s="16">
        <v>0.11267175516062837</v>
      </c>
      <c r="H6" s="17" t="str">
        <f t="shared" ref="H6:H9" si="2">A6</f>
        <v>Instagram</v>
      </c>
      <c r="I6" s="18">
        <f t="shared" si="1"/>
        <v>5.0283982091147303E-2</v>
      </c>
      <c r="J6" s="18">
        <f t="shared" si="1"/>
        <v>4.3060781812819873E-2</v>
      </c>
      <c r="K6" s="18">
        <f t="shared" si="1"/>
        <v>1.5320025675641944E-3</v>
      </c>
      <c r="L6" s="18">
        <f t="shared" si="1"/>
        <v>1.7794988689097006E-2</v>
      </c>
    </row>
    <row r="7" spans="1:12" ht="22.05" customHeight="1" x14ac:dyDescent="0.3">
      <c r="A7" s="13" t="s">
        <v>70</v>
      </c>
      <c r="B7" s="16">
        <v>6.3496059750411282E-2</v>
      </c>
      <c r="C7" s="16">
        <v>4.6071629863988765E-2</v>
      </c>
      <c r="D7" s="16">
        <v>2.306247051322625E-3</v>
      </c>
      <c r="E7" s="16">
        <v>3.8927934093844286E-3</v>
      </c>
      <c r="F7" s="16">
        <v>0.11576673007510711</v>
      </c>
      <c r="H7" s="17" t="str">
        <f t="shared" si="2"/>
        <v>Partner App</v>
      </c>
      <c r="I7" s="18">
        <f t="shared" si="1"/>
        <v>6.3496059750411282E-2</v>
      </c>
      <c r="J7" s="18">
        <f t="shared" si="1"/>
        <v>4.6071629863988765E-2</v>
      </c>
      <c r="K7" s="18">
        <f t="shared" si="1"/>
        <v>2.306247051322625E-3</v>
      </c>
      <c r="L7" s="18">
        <f t="shared" si="1"/>
        <v>3.8927934093844286E-3</v>
      </c>
    </row>
    <row r="8" spans="1:12" ht="22.05" customHeight="1" x14ac:dyDescent="0.3">
      <c r="A8" s="13" t="s">
        <v>40</v>
      </c>
      <c r="B8" s="16">
        <v>9.6337892927149532E-2</v>
      </c>
      <c r="C8" s="16">
        <v>6.7920115842382611E-2</v>
      </c>
      <c r="D8" s="16">
        <v>5.4979832664581261E-3</v>
      </c>
      <c r="E8" s="16">
        <v>1.2933041488102518E-2</v>
      </c>
      <c r="F8" s="16">
        <v>0.1826890335240928</v>
      </c>
      <c r="H8" s="17" t="str">
        <f t="shared" si="2"/>
        <v>Target.com</v>
      </c>
      <c r="I8" s="18">
        <f t="shared" si="1"/>
        <v>9.6337892927149532E-2</v>
      </c>
      <c r="J8" s="18">
        <f t="shared" si="1"/>
        <v>6.7920115842382611E-2</v>
      </c>
      <c r="K8" s="18">
        <f t="shared" si="1"/>
        <v>5.4979832664581261E-3</v>
      </c>
      <c r="L8" s="18">
        <f t="shared" si="1"/>
        <v>1.2933041488102518E-2</v>
      </c>
    </row>
    <row r="9" spans="1:12" ht="22.05" customHeight="1" x14ac:dyDescent="0.3">
      <c r="A9" s="13" t="s">
        <v>35</v>
      </c>
      <c r="B9" s="16">
        <v>0.12522098709469262</v>
      </c>
      <c r="C9" s="16">
        <v>9.1492740283116228E-2</v>
      </c>
      <c r="D9" s="16">
        <v>6.3042760790965081E-3</v>
      </c>
      <c r="E9" s="16">
        <v>1.2408404181197551E-2</v>
      </c>
      <c r="F9" s="16">
        <v>0.23542640763810288</v>
      </c>
      <c r="H9" s="17" t="str">
        <f t="shared" si="2"/>
        <v>Website</v>
      </c>
      <c r="I9" s="18">
        <f t="shared" si="1"/>
        <v>0.12522098709469262</v>
      </c>
      <c r="J9" s="18">
        <f t="shared" si="1"/>
        <v>9.1492740283116228E-2</v>
      </c>
      <c r="K9" s="18">
        <f t="shared" si="1"/>
        <v>6.3042760790965081E-3</v>
      </c>
      <c r="L9" s="18">
        <f t="shared" si="1"/>
        <v>1.2408404181197551E-2</v>
      </c>
    </row>
    <row r="10" spans="1:12" ht="22.05" customHeight="1" x14ac:dyDescent="0.3">
      <c r="A10" s="13" t="s">
        <v>2553</v>
      </c>
      <c r="B10" s="16">
        <v>0.52495717387974916</v>
      </c>
      <c r="C10" s="16">
        <v>0.3711684913156732</v>
      </c>
      <c r="D10" s="16">
        <v>2.6245886489133303E-2</v>
      </c>
      <c r="E10" s="16">
        <v>7.7628448315444312E-2</v>
      </c>
      <c r="F10" s="16">
        <v>1</v>
      </c>
      <c r="H10" s="17"/>
      <c r="I10" s="18"/>
      <c r="J10" s="18"/>
      <c r="K10" s="18"/>
      <c r="L10" s="18"/>
    </row>
  </sheetData>
  <conditionalFormatting sqref="I5:L10">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A1"/>
  <sheetViews>
    <sheetView workbookViewId="0">
      <selection activeCell="AE6" sqref="AE6"/>
    </sheetView>
  </sheetViews>
  <sheetFormatPr defaultRowHeight="14.4" x14ac:dyDescent="0.3"/>
  <cols>
    <col min="1" max="1" width="3.33203125" customWidth="1"/>
    <col min="2" max="2" width="22.21875" customWidth="1"/>
    <col min="3" max="4" width="3.33203125" customWidth="1"/>
    <col min="26" max="26" width="3.33203125" customWidth="1"/>
  </cols>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D30B-60E4-4685-B421-10EFD7769A97}">
  <dimension ref="B2:H24"/>
  <sheetViews>
    <sheetView workbookViewId="0">
      <selection activeCell="N7" sqref="N7"/>
    </sheetView>
  </sheetViews>
  <sheetFormatPr defaultRowHeight="14.4" x14ac:dyDescent="0.3"/>
  <cols>
    <col min="1" max="1" width="3.33203125" customWidth="1"/>
    <col min="8" max="8" width="37.33203125" customWidth="1"/>
  </cols>
  <sheetData>
    <row r="2" spans="2:8" x14ac:dyDescent="0.3">
      <c r="H2" t="s">
        <v>2548</v>
      </c>
    </row>
    <row r="3" spans="2:8" x14ac:dyDescent="0.3">
      <c r="B3" t="s">
        <v>2518</v>
      </c>
    </row>
    <row r="4" spans="2:8" x14ac:dyDescent="0.3">
      <c r="H4" s="11" t="s">
        <v>2549</v>
      </c>
    </row>
    <row r="5" spans="2:8" x14ac:dyDescent="0.3">
      <c r="B5" t="s">
        <v>2519</v>
      </c>
      <c r="H5" s="11" t="s">
        <v>2550</v>
      </c>
    </row>
    <row r="6" spans="2:8" x14ac:dyDescent="0.3">
      <c r="B6" s="5"/>
      <c r="C6" t="s">
        <v>2520</v>
      </c>
      <c r="D6" t="s">
        <v>2526</v>
      </c>
      <c r="H6" t="s">
        <v>2551</v>
      </c>
    </row>
    <row r="7" spans="2:8" x14ac:dyDescent="0.3">
      <c r="B7" s="6"/>
      <c r="C7" t="s">
        <v>2521</v>
      </c>
      <c r="D7" t="s">
        <v>2527</v>
      </c>
    </row>
    <row r="8" spans="2:8" x14ac:dyDescent="0.3">
      <c r="B8" s="7"/>
      <c r="C8" t="s">
        <v>2522</v>
      </c>
      <c r="D8" t="s">
        <v>2528</v>
      </c>
    </row>
    <row r="9" spans="2:8" x14ac:dyDescent="0.3">
      <c r="B9" s="8"/>
      <c r="C9" t="s">
        <v>2523</v>
      </c>
      <c r="D9" t="s">
        <v>2529</v>
      </c>
    </row>
    <row r="10" spans="2:8" x14ac:dyDescent="0.3">
      <c r="B10" s="9"/>
      <c r="C10" t="s">
        <v>2524</v>
      </c>
      <c r="D10" t="s">
        <v>2530</v>
      </c>
    </row>
    <row r="11" spans="2:8" x14ac:dyDescent="0.3">
      <c r="B11" s="2"/>
      <c r="C11" t="s">
        <v>2525</v>
      </c>
      <c r="D11" t="s">
        <v>2531</v>
      </c>
    </row>
    <row r="13" spans="2:8" x14ac:dyDescent="0.3">
      <c r="B13" t="s">
        <v>2532</v>
      </c>
    </row>
    <row r="14" spans="2:8" x14ac:dyDescent="0.3">
      <c r="B14" t="s">
        <v>2533</v>
      </c>
      <c r="C14" t="s">
        <v>2538</v>
      </c>
    </row>
    <row r="15" spans="2:8" x14ac:dyDescent="0.3">
      <c r="B15" t="s">
        <v>2534</v>
      </c>
      <c r="C15" t="s">
        <v>2</v>
      </c>
    </row>
    <row r="16" spans="2:8" x14ac:dyDescent="0.3">
      <c r="B16" t="s">
        <v>2535</v>
      </c>
      <c r="C16" t="s">
        <v>4</v>
      </c>
    </row>
    <row r="17" spans="2:3" x14ac:dyDescent="0.3">
      <c r="B17" t="s">
        <v>2536</v>
      </c>
      <c r="C17" t="s">
        <v>2539</v>
      </c>
    </row>
    <row r="18" spans="2:3" x14ac:dyDescent="0.3">
      <c r="B18" t="s">
        <v>2537</v>
      </c>
      <c r="C18" t="s">
        <v>2540</v>
      </c>
    </row>
    <row r="21" spans="2:3" x14ac:dyDescent="0.3">
      <c r="B21" t="s">
        <v>2541</v>
      </c>
    </row>
    <row r="22" spans="2:3" x14ac:dyDescent="0.3">
      <c r="B22" t="s">
        <v>2542</v>
      </c>
      <c r="C22" t="s">
        <v>2543</v>
      </c>
    </row>
    <row r="23" spans="2:3" x14ac:dyDescent="0.3">
      <c r="B23" t="s">
        <v>2544</v>
      </c>
      <c r="C23" t="s">
        <v>2545</v>
      </c>
    </row>
    <row r="24" spans="2:3" x14ac:dyDescent="0.3">
      <c r="B24" s="10" t="s">
        <v>2546</v>
      </c>
      <c r="C24" t="s">
        <v>2547</v>
      </c>
    </row>
  </sheetData>
  <phoneticPr fontId="2" type="noConversion"/>
  <hyperlinks>
    <hyperlink ref="H4" r:id="rId1" xr:uid="{A77862B0-B580-43DF-9272-7B32B5A35427}"/>
    <hyperlink ref="H5" r:id="rId2" xr:uid="{602AE8E3-2587-4F74-A241-C4690768D1EC}"/>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 V2</vt:lpstr>
      <vt:lpstr>Questions &amp; KPIs</vt:lpstr>
      <vt:lpstr>Pivots</vt:lpstr>
      <vt:lpstr>Data</vt:lpstr>
      <vt:lpstr>Orders</vt:lpstr>
      <vt:lpstr>Popular</vt:lpstr>
      <vt:lpstr>Geography</vt:lpstr>
      <vt:lpstr>Delivery dates</vt:lpstr>
      <vt:lpstr>Sheet1</vt:lpstr>
      <vt:lpstr>Dashboard</vt:lpstr>
      <vt:lpstr>Logo &amp; Colors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Joel Gonsalves</cp:lastModifiedBy>
  <dcterms:created xsi:type="dcterms:W3CDTF">2025-06-13T02:42:26Z</dcterms:created>
  <dcterms:modified xsi:type="dcterms:W3CDTF">2026-03-15T20:01:14Z</dcterms:modified>
</cp:coreProperties>
</file>